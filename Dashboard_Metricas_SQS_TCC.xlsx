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shboard" sheetId="1" r:id="rId5"/>
    <sheet state="visible" name="Banco de dados" sheetId="2" r:id="rId6"/>
    <sheet state="visible" name="Dados ordenados pela criação" sheetId="3" r:id="rId7"/>
    <sheet state="visible" name="Métricas comparativas" sheetId="4" r:id="rId8"/>
  </sheets>
  <definedNames/>
  <calcPr/>
</workbook>
</file>

<file path=xl/sharedStrings.xml><?xml version="1.0" encoding="utf-8"?>
<sst xmlns="http://schemas.openxmlformats.org/spreadsheetml/2006/main" count="1441" uniqueCount="833">
  <si>
    <t>Avaliação Experimental: Amazon SQS Standard vs. FIFO</t>
  </si>
  <si>
    <t>Tipo de Fila</t>
  </si>
  <si>
    <t>Total Mensagens</t>
  </si>
  <si>
    <t>Latência Média (ms)</t>
  </si>
  <si>
    <t>Latência Mínima (ms)</t>
  </si>
  <si>
    <t>Latência Máxima (ms)</t>
  </si>
  <si>
    <t>FIFO</t>
  </si>
  <si>
    <t>Standard</t>
  </si>
  <si>
    <t>Throughput (msg/s)</t>
  </si>
  <si>
    <t>Quantidade de Inversões</t>
  </si>
  <si>
    <t>Taxa de Desordenamento</t>
  </si>
  <si>
    <t xml:space="preserve"> </t>
  </si>
  <si>
    <t>id</t>
  </si>
  <si>
    <t>queue_type</t>
  </si>
  <si>
    <t>sequence_id</t>
  </si>
  <si>
    <t>sqs_message_id</t>
  </si>
  <si>
    <t>sent_timestamp</t>
  </si>
  <si>
    <t>received_timestamp</t>
  </si>
  <si>
    <t>latency_ms</t>
  </si>
  <si>
    <t>created_at</t>
  </si>
  <si>
    <t>updated_at</t>
  </si>
  <si>
    <t>fifo</t>
  </si>
  <si>
    <t>6113b636-e04c-4c3f-9f0a-2ca7386c8dc1</t>
  </si>
  <si>
    <t>1780594589,7067</t>
  </si>
  <si>
    <t>1780594593,0588</t>
  </si>
  <si>
    <t>3352,1909713745</t>
  </si>
  <si>
    <t>60e9d3c1-2974-4803-86e5-f0eaad4e279b</t>
  </si>
  <si>
    <t>1780594590,7066</t>
  </si>
  <si>
    <t>1780594593,4126</t>
  </si>
  <si>
    <t>2706,0508728027</t>
  </si>
  <si>
    <t>b5e836b7-6d53-4b82-989e-acd8b3be2bc3</t>
  </si>
  <si>
    <t>1780594590,904</t>
  </si>
  <si>
    <t>1780594593,7763</t>
  </si>
  <si>
    <t>2872,2629547119</t>
  </si>
  <si>
    <t>a18829de-deda-4363-bec1-76fb6edf801b</t>
  </si>
  <si>
    <t>1780594591,1081</t>
  </si>
  <si>
    <t>1780594594,187</t>
  </si>
  <si>
    <t>3078,8471698761</t>
  </si>
  <si>
    <t>c2aa533a-738f-479f-bd26-9477c4a5926f</t>
  </si>
  <si>
    <t>1780594591,3135</t>
  </si>
  <si>
    <t>1780594594,5001</t>
  </si>
  <si>
    <t>3186,537027359</t>
  </si>
  <si>
    <t>21c7b183-f602-4196-ab95-c420798266da</t>
  </si>
  <si>
    <t>1780594591,4587</t>
  </si>
  <si>
    <t>1780594594,813</t>
  </si>
  <si>
    <t>3354,2799949646</t>
  </si>
  <si>
    <t>4980fd59-f1ee-4252-9489-0d61563f1f6a</t>
  </si>
  <si>
    <t>1780594591,6207</t>
  </si>
  <si>
    <t>1780594595,1259</t>
  </si>
  <si>
    <t>3505,1319599152</t>
  </si>
  <si>
    <t>05e410d8-37f7-4239-9cfa-561f57aff4f6</t>
  </si>
  <si>
    <t>1780594591,7656</t>
  </si>
  <si>
    <t>1780594595,4532</t>
  </si>
  <si>
    <t>3687,6192092896</t>
  </si>
  <si>
    <t>b548f19b-5820-4c37-96b2-67eb79a8017b</t>
  </si>
  <si>
    <t>1780594591,914</t>
  </si>
  <si>
    <t>1780594595,824</t>
  </si>
  <si>
    <t>3910,02202034</t>
  </si>
  <si>
    <t>886cf32b-8cf6-4ecb-bfe9-e7ce43ffd4f4</t>
  </si>
  <si>
    <t>1780594592,133</t>
  </si>
  <si>
    <t>1780594596,2343</t>
  </si>
  <si>
    <t>4101,2840270996</t>
  </si>
  <si>
    <t>653a3c22-1e48-4766-8fc6-e057f1e3fd8a</t>
  </si>
  <si>
    <t>1780594592,281</t>
  </si>
  <si>
    <t>1780594596,5592</t>
  </si>
  <si>
    <t>4278,1999111176</t>
  </si>
  <si>
    <t>44450449-5c13-4f89-a911-2124abc0ae55</t>
  </si>
  <si>
    <t>1780594592,427</t>
  </si>
  <si>
    <t>1780594596,881</t>
  </si>
  <si>
    <t>4454,0379047394</t>
  </si>
  <si>
    <t>9f80062d-f4d3-4f2d-a2b4-1fcdbfca39df</t>
  </si>
  <si>
    <t>1780594592,6448</t>
  </si>
  <si>
    <t>1780594597,2084</t>
  </si>
  <si>
    <t>4563,560962677</t>
  </si>
  <si>
    <t>bfedbc81-8c06-45c3-99db-11ed72cd899d</t>
  </si>
  <si>
    <t>1780594592,8208</t>
  </si>
  <si>
    <t>1780594597,6663</t>
  </si>
  <si>
    <t>4845,5059528351</t>
  </si>
  <si>
    <t>09ee8fa0-b2a3-4f6d-b367-664b708a3941</t>
  </si>
  <si>
    <t>1780594593,0553</t>
  </si>
  <si>
    <t>1780594598,0752</t>
  </si>
  <si>
    <t>5019,898891449</t>
  </si>
  <si>
    <t>30fc607c-e8e9-48e3-a89f-7228e1ad06c8</t>
  </si>
  <si>
    <t>1780594593,2589</t>
  </si>
  <si>
    <t>1780594598,4854</t>
  </si>
  <si>
    <t>5226,5379428864</t>
  </si>
  <si>
    <t>071e3499-4caf-4ada-ab17-a50f062bb70b</t>
  </si>
  <si>
    <t>1780594593,408</t>
  </si>
  <si>
    <t>1780594598,8169</t>
  </si>
  <si>
    <t>5408,9291095734</t>
  </si>
  <si>
    <t>c1e21506-6982-41a1-ab64-8eb7779fe47d</t>
  </si>
  <si>
    <t>1780594593,5551</t>
  </si>
  <si>
    <t>1780594599,6321</t>
  </si>
  <si>
    <t>6077,0001411438</t>
  </si>
  <si>
    <t>0032747c-480b-48a8-be7d-97f3556e3471</t>
  </si>
  <si>
    <t>1780594593,7721</t>
  </si>
  <si>
    <t>1780594600,0203</t>
  </si>
  <si>
    <t>6248,2120990753</t>
  </si>
  <si>
    <t>328114b0-2da5-4640-95a3-ad72d4fe74ae</t>
  </si>
  <si>
    <t>1780594593,9764</t>
  </si>
  <si>
    <t>1780594600,4316</t>
  </si>
  <si>
    <t>6455,2290439606</t>
  </si>
  <si>
    <t>976d452d-20e1-4a16-89f1-9e4150511e37</t>
  </si>
  <si>
    <t>1780594594,1827</t>
  </si>
  <si>
    <t>1780594600,751</t>
  </si>
  <si>
    <t>6568,3040618896</t>
  </si>
  <si>
    <t>d3d6a1fe-c545-4142-89f0-4bb5f0289075</t>
  </si>
  <si>
    <t>1780594594,3307</t>
  </si>
  <si>
    <t>1780594601,0743</t>
  </si>
  <si>
    <t>6743,6668872833</t>
  </si>
  <si>
    <t>76bd04ad-afa8-4c11-a2d7-3b12c47d6907</t>
  </si>
  <si>
    <t>1780594594,4788</t>
  </si>
  <si>
    <t>1780594601,5582</t>
  </si>
  <si>
    <t>7079,4160366058</t>
  </si>
  <si>
    <t>4314f423-40af-430d-b5fd-6fcb331cdd26</t>
  </si>
  <si>
    <t>1780594594,6265</t>
  </si>
  <si>
    <t>1780594601,8743</t>
  </si>
  <si>
    <t>7247,7920055389</t>
  </si>
  <si>
    <t>353ec6f7-f7a2-4ce3-b006-5917d2d366c7</t>
  </si>
  <si>
    <t>1780594594,7722</t>
  </si>
  <si>
    <t>1780594602,1917</t>
  </si>
  <si>
    <t>7419,5640087128</t>
  </si>
  <si>
    <t>c3d1ef84-2339-4b6f-9292-8ee17b1593ba</t>
  </si>
  <si>
    <t>1780594594,9176</t>
  </si>
  <si>
    <t>1780594602,515</t>
  </si>
  <si>
    <t>7597,3980426788</t>
  </si>
  <si>
    <t>f685626c-a7a0-4534-94b1-c0817fee0f29</t>
  </si>
  <si>
    <t>1780594595,0634</t>
  </si>
  <si>
    <t>1780594602,8357</t>
  </si>
  <si>
    <t>7772,243976593</t>
  </si>
  <si>
    <t>926178bd-fcb9-4d3b-8a76-388c2ed3047e</t>
  </si>
  <si>
    <t>1780594595,2079</t>
  </si>
  <si>
    <t>1780594603,2989</t>
  </si>
  <si>
    <t>8090,9929275513</t>
  </si>
  <si>
    <t>e13b1c0c-626a-4223-b347-46a2c49e5a83</t>
  </si>
  <si>
    <t>1780594595,3562</t>
  </si>
  <si>
    <t>1780594603,6319</t>
  </si>
  <si>
    <t>8275,6018638611</t>
  </si>
  <si>
    <t>0c05b6c2-8b0e-4699-aef1-f3ee256ae5bb</t>
  </si>
  <si>
    <t>1780594595,5028</t>
  </si>
  <si>
    <t>1780594603,9499</t>
  </si>
  <si>
    <t>8447,1750259399</t>
  </si>
  <si>
    <t>465164ce-f895-4f29-824f-0f2ecf821c29</t>
  </si>
  <si>
    <t>1780594595,6529</t>
  </si>
  <si>
    <t>1780594604,27</t>
  </si>
  <si>
    <t>8617,0651912689</t>
  </si>
  <si>
    <t>289f9c93-1aff-4a55-b454-e5b33a709354</t>
  </si>
  <si>
    <t>1780594595,8194</t>
  </si>
  <si>
    <t>1780594604,7297</t>
  </si>
  <si>
    <t>8910,3808403015</t>
  </si>
  <si>
    <t>75a79b06-29a4-40df-a364-a5dda1967d60</t>
  </si>
  <si>
    <t>1780594596,0244</t>
  </si>
  <si>
    <t>1780594605,1421</t>
  </si>
  <si>
    <t>9117,6619529724</t>
  </si>
  <si>
    <t>7b61d112-09db-467a-93f7-ccdc65544379</t>
  </si>
  <si>
    <t>1780594596,2295</t>
  </si>
  <si>
    <t>1780594605,4921</t>
  </si>
  <si>
    <t>9262,5548839569</t>
  </si>
  <si>
    <t>de804483-5950-4ed7-b63d-16ed92b519d1</t>
  </si>
  <si>
    <t>1780594596,376</t>
  </si>
  <si>
    <t>1780594605,8569</t>
  </si>
  <si>
    <t>9480,9529781342</t>
  </si>
  <si>
    <t>3bfb2e7c-f27f-4755-a6ba-1f8a06df3a4a</t>
  </si>
  <si>
    <t>1780594596,5251</t>
  </si>
  <si>
    <t>1780594606,1718</t>
  </si>
  <si>
    <t>9646,7490196228</t>
  </si>
  <si>
    <t>8bea22c8-b735-49e9-b975-07b2d1d886dc</t>
  </si>
  <si>
    <t>1780594596,6744</t>
  </si>
  <si>
    <t>1780594606,5019</t>
  </si>
  <si>
    <t>9827,5079727173</t>
  </si>
  <si>
    <t>c22302f7-ccc3-45ac-88a1-8318132ea43d</t>
  </si>
  <si>
    <t>1780594596,8211</t>
  </si>
  <si>
    <t>1780594606,8213</t>
  </si>
  <si>
    <t>10000,207185745</t>
  </si>
  <si>
    <t>1849c670-da46-479a-ac6a-779e4cc22813</t>
  </si>
  <si>
    <t>1780594596,9666</t>
  </si>
  <si>
    <t>1780594607,291</t>
  </si>
  <si>
    <t>10324,379920959</t>
  </si>
  <si>
    <t>cd6ed680-7db9-40c7-8ff1-4381d8301594</t>
  </si>
  <si>
    <t>1780594597,1103</t>
  </si>
  <si>
    <t>1780594607,7017</t>
  </si>
  <si>
    <t>10591,418027878</t>
  </si>
  <si>
    <t>69bb344a-48fe-47fb-8698-60019da35f73</t>
  </si>
  <si>
    <t>1780594597,2559</t>
  </si>
  <si>
    <t>1780594608,112</t>
  </si>
  <si>
    <t>10856,07790947</t>
  </si>
  <si>
    <t>06794d09-7d46-48e5-ade9-1970692dc767</t>
  </si>
  <si>
    <t>1780594597,4593</t>
  </si>
  <si>
    <t>1780594608,4294</t>
  </si>
  <si>
    <t>10970,164060593</t>
  </si>
  <si>
    <t>f66a04e3-8955-41e4-90a7-8a47a8f7493d</t>
  </si>
  <si>
    <t>1780594597,6639</t>
  </si>
  <si>
    <t>1780594608,7564</t>
  </si>
  <si>
    <t>11092,512130737</t>
  </si>
  <si>
    <t>b182e6a0-1842-4283-9e78-f972c3a2ac67</t>
  </si>
  <si>
    <t>1780594597,8711</t>
  </si>
  <si>
    <t>1780594609,1354</t>
  </si>
  <si>
    <t>11264,352083206</t>
  </si>
  <si>
    <t>37c0d68a-e0c6-4fb0-90c7-ca2dc5a734da</t>
  </si>
  <si>
    <t>1780594598,0719</t>
  </si>
  <si>
    <t>1780594609,5447</t>
  </si>
  <si>
    <t>11472,787857056</t>
  </si>
  <si>
    <t>ba55eac6-89a1-4218-a01e-6bece9d6bb2a</t>
  </si>
  <si>
    <t>1780594598,2771</t>
  </si>
  <si>
    <t>1780594609,9546</t>
  </si>
  <si>
    <t>11677,530050278</t>
  </si>
  <si>
    <t>18579144-13fe-40e9-8d68-b2b1202ddb41</t>
  </si>
  <si>
    <t>1780594598,4824</t>
  </si>
  <si>
    <t>1780594610,3622</t>
  </si>
  <si>
    <t>11879,767894745</t>
  </si>
  <si>
    <t>2ad66ee4-122c-4618-b9e2-f676c3ef936c</t>
  </si>
  <si>
    <t>1780594598,6269</t>
  </si>
  <si>
    <t>1780594610,7735</t>
  </si>
  <si>
    <t>12146,627902985</t>
  </si>
  <si>
    <t>f753275e-d443-486c-8e53-651ac6e8ac5b</t>
  </si>
  <si>
    <t>1780594598,7808</t>
  </si>
  <si>
    <t>1780594611,1825</t>
  </si>
  <si>
    <t>12401,724100113</t>
  </si>
  <si>
    <t>1b27ae50-0198-4998-b883-37e2906ec6cb</t>
  </si>
  <si>
    <t>1780594598,929</t>
  </si>
  <si>
    <t>1780594611,5938</t>
  </si>
  <si>
    <t>12664,798974991</t>
  </si>
  <si>
    <t>5c487f4a-0a40-459f-9324-49a032467d7b</t>
  </si>
  <si>
    <t>1780594599,0805</t>
  </si>
  <si>
    <t>1780594611,9193</t>
  </si>
  <si>
    <t>12838,773012161</t>
  </si>
  <si>
    <t>30672589-131b-457c-bdca-0238ecac466e</t>
  </si>
  <si>
    <t>1780594599,2321</t>
  </si>
  <si>
    <t>1780594612,2223</t>
  </si>
  <si>
    <t>12990,28301239</t>
  </si>
  <si>
    <t>8e4006a3-de0b-4161-9b1d-fee071c2f72c</t>
  </si>
  <si>
    <t>1780594599,3818</t>
  </si>
  <si>
    <t>1780594612,6168</t>
  </si>
  <si>
    <t>13234,957933426</t>
  </si>
  <si>
    <t>45d9ddbe-0820-42c9-ae82-f0d6897d94ab</t>
  </si>
  <si>
    <t>1780594599,5327</t>
  </si>
  <si>
    <t>1780594613,026</t>
  </si>
  <si>
    <t>13493,29996109</t>
  </si>
  <si>
    <t>ea8e1576-8e46-45c2-ac50-a8a3ab8826c5</t>
  </si>
  <si>
    <t>1780594599,6779</t>
  </si>
  <si>
    <t>1780594613,4357</t>
  </si>
  <si>
    <t>13757,798910141</t>
  </si>
  <si>
    <t>5753f623-86d3-4465-a87d-a90e1b940328</t>
  </si>
  <si>
    <t>1780594599,8239</t>
  </si>
  <si>
    <t>1780594613,8442</t>
  </si>
  <si>
    <t>14020,294904709</t>
  </si>
  <si>
    <t>a4b2c2dd-9f6d-4143-9d30-5a8d02c0d7e3</t>
  </si>
  <si>
    <t>1780594600,0177</t>
  </si>
  <si>
    <t>1780594614,2555</t>
  </si>
  <si>
    <t>14237,792015076</t>
  </si>
  <si>
    <t>0b63df72-7653-4b67-aad8-cc5e0bbb47ae</t>
  </si>
  <si>
    <t>1780594600,2234</t>
  </si>
  <si>
    <t>1780594615,0882</t>
  </si>
  <si>
    <t>14864,852905273</t>
  </si>
  <si>
    <t>6f934766-1fc9-43b7-8f99-d1b79b3ad676</t>
  </si>
  <si>
    <t>1780594600,4291</t>
  </si>
  <si>
    <t>1780594615,4828</t>
  </si>
  <si>
    <t>15053,675889969</t>
  </si>
  <si>
    <t>77457797-2fbb-4b3c-8fd8-e809361e5d00</t>
  </si>
  <si>
    <t>1780594600,676</t>
  </si>
  <si>
    <t>1780594615,8943</t>
  </si>
  <si>
    <t>15218,2970047</t>
  </si>
  <si>
    <t>afacb9b7-9733-4412-94e2-2ec09918efa7</t>
  </si>
  <si>
    <t>1780594600,8369</t>
  </si>
  <si>
    <t>1780594616,3034</t>
  </si>
  <si>
    <t>15466,54009819</t>
  </si>
  <si>
    <t>50444e0c-d719-4b76-b0c4-72f16ef762e8</t>
  </si>
  <si>
    <t>1780594600,9894</t>
  </si>
  <si>
    <t>1780594616,7114</t>
  </si>
  <si>
    <t>15721,992015839</t>
  </si>
  <si>
    <t>e1725492-2631-4c5a-96df-0d9b8f7e3586</t>
  </si>
  <si>
    <t>1780594601,1396</t>
  </si>
  <si>
    <t>1780594617,1346</t>
  </si>
  <si>
    <t>15995,010852814</t>
  </si>
  <si>
    <t>5f0d58a6-6a41-4a6d-b605-4e969874a53d</t>
  </si>
  <si>
    <t>1780594601,349</t>
  </si>
  <si>
    <t>1780594617,5327</t>
  </si>
  <si>
    <t>16183,706998825</t>
  </si>
  <si>
    <t>6d1515b9-2136-4ae5-bdc4-997c22e06e8c</t>
  </si>
  <si>
    <t>1780594601,5544</t>
  </si>
  <si>
    <t>1780594617,8597</t>
  </si>
  <si>
    <t>16305,346012115</t>
  </si>
  <si>
    <t>7d61a984-3ef7-4401-b0e5-a64697265fc4</t>
  </si>
  <si>
    <t>1780594601,7008</t>
  </si>
  <si>
    <t>1780594618,2488</t>
  </si>
  <si>
    <t>16547,972202301</t>
  </si>
  <si>
    <t>373af3a3-3527-485c-a042-f4ec9bcdf321</t>
  </si>
  <si>
    <t>1780594601,845</t>
  </si>
  <si>
    <t>1780594618,6599</t>
  </si>
  <si>
    <t>16814,879894257</t>
  </si>
  <si>
    <t>c38af3d7-d493-469a-8839-0934f597054f</t>
  </si>
  <si>
    <t>1780594601,993</t>
  </si>
  <si>
    <t>1780594619,0209</t>
  </si>
  <si>
    <t>17027,904033661</t>
  </si>
  <si>
    <t>dd1a7e6f-3bec-4d8a-8996-a1248670d985</t>
  </si>
  <si>
    <t>1780594602,1389</t>
  </si>
  <si>
    <t>1780594619,4764</t>
  </si>
  <si>
    <t>17337,4979496</t>
  </si>
  <si>
    <t>895d0aa4-c8a1-462d-a39a-616656f1a21a</t>
  </si>
  <si>
    <t>1780594602,2871</t>
  </si>
  <si>
    <t>1780594619,8875</t>
  </si>
  <si>
    <t>17600,385904312</t>
  </si>
  <si>
    <t>f9d682f8-27d6-4d62-a725-ebfff6765cf5</t>
  </si>
  <si>
    <t>1780594602,4371</t>
  </si>
  <si>
    <t>1780594620,2948</t>
  </si>
  <si>
    <t>17857,666015625</t>
  </si>
  <si>
    <t>7c58cda3-e93f-4d88-b039-6e4857f17a1d</t>
  </si>
  <si>
    <t>1780594602,5836</t>
  </si>
  <si>
    <t>1780594620,6953</t>
  </si>
  <si>
    <t>18111,683130264</t>
  </si>
  <si>
    <t>43d89964-6e23-4ceb-bec3-2cc7de14501a</t>
  </si>
  <si>
    <t>1780594602,73</t>
  </si>
  <si>
    <t>1780594621,0726</t>
  </si>
  <si>
    <t>18342,594146729</t>
  </si>
  <si>
    <t>adcd4214-3c2b-4bab-9988-8447fca5b3c1</t>
  </si>
  <si>
    <t>1780594602,8769</t>
  </si>
  <si>
    <t>1780594621,423</t>
  </si>
  <si>
    <t>18546,053886414</t>
  </si>
  <si>
    <t>e26bd9ba-4698-4cb7-8906-0ac944b0d44b</t>
  </si>
  <si>
    <t>1780594603,0903</t>
  </si>
  <si>
    <t>1780594621,8328</t>
  </si>
  <si>
    <t>18742,579936981</t>
  </si>
  <si>
    <t>66a85005-dcc5-428d-950a-c447ec66ce6f</t>
  </si>
  <si>
    <t>1780594603,2954</t>
  </si>
  <si>
    <t>1780594622,2426</t>
  </si>
  <si>
    <t>18947,136163712</t>
  </si>
  <si>
    <t>c4e18ab0-2a41-40bd-9544-243dc289890f</t>
  </si>
  <si>
    <t>1780594603,4431</t>
  </si>
  <si>
    <t>1780594622,6508</t>
  </si>
  <si>
    <t>19207,748174667</t>
  </si>
  <si>
    <t>6aa4eabf-dee7-46b7-875c-eb03caeaba4b</t>
  </si>
  <si>
    <t>1780594603,5874</t>
  </si>
  <si>
    <t>1780594623,0076</t>
  </si>
  <si>
    <t>19420,222043991</t>
  </si>
  <si>
    <t>3a2646b7-6732-41fa-914f-e37508fcf18f</t>
  </si>
  <si>
    <t>1780594603,733</t>
  </si>
  <si>
    <t>1780594623,4706</t>
  </si>
  <si>
    <t>19737,651109695</t>
  </si>
  <si>
    <t>51bb3302-87c2-40a7-a215-46e23efd0895</t>
  </si>
  <si>
    <t>1780594603,8785</t>
  </si>
  <si>
    <t>1780594623,8802</t>
  </si>
  <si>
    <t>20001,644134521</t>
  </si>
  <si>
    <t>34eefb92-c48c-4ee5-910c-64597c56f99f</t>
  </si>
  <si>
    <t>1780594604,0261</t>
  </si>
  <si>
    <t>1780594624,2331</t>
  </si>
  <si>
    <t>20207,004070282</t>
  </si>
  <si>
    <t>32627bc2-1a52-4925-b49e-e285831eebea</t>
  </si>
  <si>
    <t>1780594604,728</t>
  </si>
  <si>
    <t>1780594624,5975</t>
  </si>
  <si>
    <t>19869,479894638</t>
  </si>
  <si>
    <t>c1590cea-8d1e-4f14-9019-2cf8563b7b30</t>
  </si>
  <si>
    <t>1780594604,9336</t>
  </si>
  <si>
    <t>1780594625,0072</t>
  </si>
  <si>
    <t>20073,517084122</t>
  </si>
  <si>
    <t>88f42bad-b64c-4e0c-bfa5-c20a07adf2d2</t>
  </si>
  <si>
    <t>1780594605,1379</t>
  </si>
  <si>
    <t>1780594625,417</t>
  </si>
  <si>
    <t>20279,182910919</t>
  </si>
  <si>
    <t>6d8ab922-75b4-46db-bff2-ced022e52b7f</t>
  </si>
  <si>
    <t>1780594605,3436</t>
  </si>
  <si>
    <t>1780594625,827</t>
  </si>
  <si>
    <t>20483,391046524</t>
  </si>
  <si>
    <t>efc93a8d-e76e-4899-8c6c-0dd64cb6f321</t>
  </si>
  <si>
    <t>1780594605,4905</t>
  </si>
  <si>
    <t>1780594626,2357</t>
  </si>
  <si>
    <t>20745,207071304</t>
  </si>
  <si>
    <t>14ca4013-cf40-4ad4-8581-f5419dd10133</t>
  </si>
  <si>
    <t>1780594605,6533</t>
  </si>
  <si>
    <t>1780594626,6459</t>
  </si>
  <si>
    <t>20992,603063583</t>
  </si>
  <si>
    <t>7b6778eb-4994-4964-96f6-2b819cb7533d</t>
  </si>
  <si>
    <t>1780594605,804</t>
  </si>
  <si>
    <t>1780594627,0554</t>
  </si>
  <si>
    <t>21251,4128685</t>
  </si>
  <si>
    <t>a06d0c7a-ac7b-4a86-a53e-9fd85b9deefa</t>
  </si>
  <si>
    <t>1780594605,9507</t>
  </si>
  <si>
    <t>1780594627,3775</t>
  </si>
  <si>
    <t>21426,772117615</t>
  </si>
  <si>
    <t>aaebd497-5046-4a37-a063-a7314394035b</t>
  </si>
  <si>
    <t>1780594606,1016</t>
  </si>
  <si>
    <t>1780594627,7743</t>
  </si>
  <si>
    <t>21672,710895538</t>
  </si>
  <si>
    <t>99459df1-91ff-42c1-8ded-d3f8da2b5cc4</t>
  </si>
  <si>
    <t>1780594606,2522</t>
  </si>
  <si>
    <t>1780594628,1815</t>
  </si>
  <si>
    <t>21929,220914841</t>
  </si>
  <si>
    <t>780e03e0-6bb3-4ae8-b328-091ede4d3538</t>
  </si>
  <si>
    <t>1780594606,399</t>
  </si>
  <si>
    <t>1780594628,5398</t>
  </si>
  <si>
    <t>22140,718221664</t>
  </si>
  <si>
    <t>4bcd8c2f-dc99-40ce-9ce4-00de7db66fab</t>
  </si>
  <si>
    <t>1780594606,5463</t>
  </si>
  <si>
    <t>1780594628,8527</t>
  </si>
  <si>
    <t>22306,385040283</t>
  </si>
  <si>
    <t>85bfe017-f8c4-4119-9131-746252bc4e63</t>
  </si>
  <si>
    <t>1780594606,6959</t>
  </si>
  <si>
    <t>1780594629,2073</t>
  </si>
  <si>
    <t>22511,406898499</t>
  </si>
  <si>
    <t>c389797d-5de2-4fa5-b414-2dab3da158c6</t>
  </si>
  <si>
    <t>1780594606,8427</t>
  </si>
  <si>
    <t>1780594629,6136</t>
  </si>
  <si>
    <t>22770,936965942</t>
  </si>
  <si>
    <t>0e296b98-cc8a-46e4-863a-2b3dc188d679</t>
  </si>
  <si>
    <t>1780594607,0832</t>
  </si>
  <si>
    <t>1780594629,9686</t>
  </si>
  <si>
    <t>22885,385990143</t>
  </si>
  <si>
    <t>55c44850-31b2-41f6-bfeb-6897aed0d43d</t>
  </si>
  <si>
    <t>1780594607,288</t>
  </si>
  <si>
    <t>1780594630,4346</t>
  </si>
  <si>
    <t>23146,598815918</t>
  </si>
  <si>
    <t>70e7b497-6b2c-44be-a935-17cc4ff63735</t>
  </si>
  <si>
    <t>1780594607,4939</t>
  </si>
  <si>
    <t>1780594631,3102</t>
  </si>
  <si>
    <t>23816,271066666</t>
  </si>
  <si>
    <t>2746c37f-ed1f-4792-9a09-91c6256a0b57</t>
  </si>
  <si>
    <t>1780594607,6977</t>
  </si>
  <si>
    <t>1780594631,6629</t>
  </si>
  <si>
    <t>23965,19112587</t>
  </si>
  <si>
    <t>8cee7298-b4fb-4790-aed2-f273b7245092</t>
  </si>
  <si>
    <t>1780594607,9029</t>
  </si>
  <si>
    <t>1780594632,0724</t>
  </si>
  <si>
    <t>24169,432163239</t>
  </si>
  <si>
    <t>standard</t>
  </si>
  <si>
    <t>13c8905d-97cf-4d06-b9ea-69271fd57554</t>
  </si>
  <si>
    <t>1780594709,4661</t>
  </si>
  <si>
    <t>1780594714,1221</t>
  </si>
  <si>
    <t>4655,9979915619</t>
  </si>
  <si>
    <t>097d83f6-12f4-4f51-90c3-f1ce073e5a47</t>
  </si>
  <si>
    <t>1780594711,1241</t>
  </si>
  <si>
    <t>1780594714,6114</t>
  </si>
  <si>
    <t>3487,3218536377</t>
  </si>
  <si>
    <t>76062e41-925c-4746-bedb-89b6496b848c</t>
  </si>
  <si>
    <t>1780594713,1731</t>
  </si>
  <si>
    <t>1780594715,0204</t>
  </si>
  <si>
    <t>1847,2571372986</t>
  </si>
  <si>
    <t>a95d3472-4045-4d76-b834-453d69ac5a82</t>
  </si>
  <si>
    <t>1780594710,4228</t>
  </si>
  <si>
    <t>1780594715,4371</t>
  </si>
  <si>
    <t>5014,2579078674</t>
  </si>
  <si>
    <t>e634cf0e-2379-4b08-bef3-da5238213a02</t>
  </si>
  <si>
    <t>1780594712,3534</t>
  </si>
  <si>
    <t>1780594715,7879</t>
  </si>
  <si>
    <t>3434,4818592072</t>
  </si>
  <si>
    <t>38ba8a7e-45f8-4a07-bb2c-d9b54b03461c</t>
  </si>
  <si>
    <t>1780594713,5224</t>
  </si>
  <si>
    <t>1780594716,0995</t>
  </si>
  <si>
    <t>2577,1291255951</t>
  </si>
  <si>
    <t>60c087a9-9eca-4433-a030-500bf6267bf7</t>
  </si>
  <si>
    <t>1780594711,5355</t>
  </si>
  <si>
    <t>1780594716,4067</t>
  </si>
  <si>
    <t>4871,1800575256</t>
  </si>
  <si>
    <t>f8c009a1-c5a2-41fd-ac7a-2b53a1a01c6b</t>
  </si>
  <si>
    <t>1780594714,6074</t>
  </si>
  <si>
    <t>1780594716,8642</t>
  </si>
  <si>
    <t>2256,767988205</t>
  </si>
  <si>
    <t>c59902a9-5ee3-4799-92db-f221bb17a7fc</t>
  </si>
  <si>
    <t>1780594711,739</t>
  </si>
  <si>
    <t>1780594717,2137</t>
  </si>
  <si>
    <t>5474,7159481049</t>
  </si>
  <si>
    <t>cac527de-b548-4d7e-8330-ec45d61ec06e</t>
  </si>
  <si>
    <t>1780594711,329</t>
  </si>
  <si>
    <t>1780594717,5814</t>
  </si>
  <si>
    <t>6252,3770332336</t>
  </si>
  <si>
    <t>bdf8e601-44fb-49de-a77c-f6f16fd5a022</t>
  </si>
  <si>
    <t>1780594713,8903</t>
  </si>
  <si>
    <t>1780594717,902</t>
  </si>
  <si>
    <t>4011,7521286011</t>
  </si>
  <si>
    <t>29f62eb9-73ba-4679-ac6e-a925f5098170</t>
  </si>
  <si>
    <t>1780594710,6129</t>
  </si>
  <si>
    <t>1780594718,2066</t>
  </si>
  <si>
    <t>7593,682050705</t>
  </si>
  <si>
    <t>7a837632-c586-4ab3-a5fb-d3aeb8f702e1</t>
  </si>
  <si>
    <t>1780594712,5315</t>
  </si>
  <si>
    <t>1780594718,5452</t>
  </si>
  <si>
    <t>6013,6389732361</t>
  </si>
  <si>
    <t>4b627ce7-6819-4dd3-8338-d4fadd86a9d9</t>
  </si>
  <si>
    <t>1780594710,9222</t>
  </si>
  <si>
    <t>1780594718,8512</t>
  </si>
  <si>
    <t>7928,9560317993</t>
  </si>
  <si>
    <t>8a193ed5-0c38-45da-a003-a8ef473d5b1b</t>
  </si>
  <si>
    <t>1780594714,1802</t>
  </si>
  <si>
    <t>1780594719,1814</t>
  </si>
  <si>
    <t>5001,2321472168</t>
  </si>
  <si>
    <t>d4cc0422-62f5-4296-acba-c8ac73a915ef</t>
  </si>
  <si>
    <t>1780594713,3774</t>
  </si>
  <si>
    <t>1780594719,4956</t>
  </si>
  <si>
    <t>6118,1869506836</t>
  </si>
  <si>
    <t>3b45679e-8145-43c8-ac07-f5ec89c62c3a</t>
  </si>
  <si>
    <t>1780594712,1494</t>
  </si>
  <si>
    <t>1780594719,8007</t>
  </si>
  <si>
    <t>7651,291847229</t>
  </si>
  <si>
    <t>3b69a797-1cc8-460e-87a0-1567aa448f35</t>
  </si>
  <si>
    <t>1780594714,4028</t>
  </si>
  <si>
    <t>1780594720,0936</t>
  </si>
  <si>
    <t>5690,8781528473</t>
  </si>
  <si>
    <t>4fdff8b6-bb84-46a6-94ee-dc5e02c4aaea</t>
  </si>
  <si>
    <t>1780594715,0168</t>
  </si>
  <si>
    <t>1780594720,4484</t>
  </si>
  <si>
    <t>5431,5500259399</t>
  </si>
  <si>
    <t>e3c86a36-3327-4ad7-9bae-1c3eee25129c</t>
  </si>
  <si>
    <t>1780594714,8113</t>
  </si>
  <si>
    <t>1780594720,8587</t>
  </si>
  <si>
    <t>6047,3911762238</t>
  </si>
  <si>
    <t>0072855d-a716-4352-982f-02b4a8052b4b</t>
  </si>
  <si>
    <t>1780594710,7767</t>
  </si>
  <si>
    <t>1780594721,6745</t>
  </si>
  <si>
    <t>10897,794008255</t>
  </si>
  <si>
    <t>35415972-a1b1-4542-b195-ebfb0155974e</t>
  </si>
  <si>
    <t>1780594715,5753</t>
  </si>
  <si>
    <t>1780594722,0847</t>
  </si>
  <si>
    <t>6509,4289779663</t>
  </si>
  <si>
    <t>3dd4bbec-52bc-4664-96ab-9ab4c19ca972</t>
  </si>
  <si>
    <t>1780594715,4285</t>
  </si>
  <si>
    <t>1780594722,4946</t>
  </si>
  <si>
    <t>7066,0970211029</t>
  </si>
  <si>
    <t>59b3e061-ef5d-4253-884a-02040610e498</t>
  </si>
  <si>
    <t>1780594713,685</t>
  </si>
  <si>
    <t>1780594722,804</t>
  </si>
  <si>
    <t>9118,9410686493</t>
  </si>
  <si>
    <t>6de33f33-230e-428e-8cc9-3fcdd8fc21bf</t>
  </si>
  <si>
    <t>1780594711,9431</t>
  </si>
  <si>
    <t>1780594723,2116</t>
  </si>
  <si>
    <t>11268,528223038</t>
  </si>
  <si>
    <t>d1c23ab5-114f-4d27-a94c-302a7580131a</t>
  </si>
  <si>
    <t>1780594716,6563</t>
  </si>
  <si>
    <t>1780594723,6215</t>
  </si>
  <si>
    <t>6965,1911258698</t>
  </si>
  <si>
    <t>8d934288-a2d5-49af-be16-6c540c5cba3e</t>
  </si>
  <si>
    <t>1780594715,8682</t>
  </si>
  <si>
    <t>1780594724,0302</t>
  </si>
  <si>
    <t>8161,994934082</t>
  </si>
  <si>
    <t>62b54cbf-deac-4b2e-96ad-f43a5bc0af1b</t>
  </si>
  <si>
    <t>1780594714,0348</t>
  </si>
  <si>
    <t>1780594724,4425</t>
  </si>
  <si>
    <t>10407,728910446</t>
  </si>
  <si>
    <t>a1b8ae45-2858-46f9-ab9c-f4a9198136f5</t>
  </si>
  <si>
    <t>1780594716,1571</t>
  </si>
  <si>
    <t>1780594724,7662</t>
  </si>
  <si>
    <t>8609,1909408569</t>
  </si>
  <si>
    <t>52597526-e07d-44e8-a3e9-f5aad1463a18</t>
  </si>
  <si>
    <t>1780594715,2213</t>
  </si>
  <si>
    <t>1780594725,1574</t>
  </si>
  <si>
    <t>9936,115026474</t>
  </si>
  <si>
    <t>d99d14bf-08b3-4f69-8347-57d77b161f0c</t>
  </si>
  <si>
    <t>1780594717,0644</t>
  </si>
  <si>
    <t>1780594725,4699</t>
  </si>
  <si>
    <t>8405,5230617523</t>
  </si>
  <si>
    <t>3ad00d5a-5025-4419-8c98-87dd08daa958</t>
  </si>
  <si>
    <t>1780594712,7267</t>
  </si>
  <si>
    <t>1780594725,7701</t>
  </si>
  <si>
    <t>13043,470144272</t>
  </si>
  <si>
    <t>9da2b126-9280-4376-ae53-8e51a19030c0</t>
  </si>
  <si>
    <t>1780594716,3018</t>
  </si>
  <si>
    <t>1780594726,0782</t>
  </si>
  <si>
    <t>9776,3659954071</t>
  </si>
  <si>
    <t>f1ee4a3b-1bd2-4531-8106-a298ac9283f6</t>
  </si>
  <si>
    <t>1780594712,9684</t>
  </si>
  <si>
    <t>1780594726,3817</t>
  </si>
  <si>
    <t>13413,241863251</t>
  </si>
  <si>
    <t>ff19ba78-0db7-4006-8b24-b60cfa390b60</t>
  </si>
  <si>
    <t>1780594716,0131</t>
  </si>
  <si>
    <t>1780594726,6964</t>
  </si>
  <si>
    <t>10683,372020721</t>
  </si>
  <si>
    <t>5fc105d8-e862-4ca4-bbfb-b31b151df57e</t>
  </si>
  <si>
    <t>1780594715,72</t>
  </si>
  <si>
    <t>1780594727,0012</t>
  </si>
  <si>
    <t>11281,206846237</t>
  </si>
  <si>
    <t>8762a1eb-1426-4346-ad1f-dd3f9be9e395</t>
  </si>
  <si>
    <t>1780594716,8603</t>
  </si>
  <si>
    <t>1780594727,4112</t>
  </si>
  <si>
    <t>10550,87685585</t>
  </si>
  <si>
    <t>1c0a7b04-b156-4314-aee3-8ee0d6cf799c</t>
  </si>
  <si>
    <t>1780594717,356</t>
  </si>
  <si>
    <t>1780594727,7186</t>
  </si>
  <si>
    <t>10362,642049789</t>
  </si>
  <si>
    <t>4fd1735a-5f4c-41b5-a9ab-5acba921adf8</t>
  </si>
  <si>
    <t>1780594716,4451</t>
  </si>
  <si>
    <t>1780594728,0278</t>
  </si>
  <si>
    <t>11582,790136337</t>
  </si>
  <si>
    <t>771ce293-fa08-468f-bb97-181ea367481e</t>
  </si>
  <si>
    <t>1780594717,8636</t>
  </si>
  <si>
    <t>1780594728,4342</t>
  </si>
  <si>
    <t>10570,686101913</t>
  </si>
  <si>
    <t>a42f535b-5191-49f8-9b46-f2d4dc6397ae</t>
  </si>
  <si>
    <t>1780594718,6877</t>
  </si>
  <si>
    <t>1780594728,741</t>
  </si>
  <si>
    <t>10053,287982941</t>
  </si>
  <si>
    <t>d0d636e0-82a8-4928-9b85-dec11f2c570b</t>
  </si>
  <si>
    <t>1780594719,421</t>
  </si>
  <si>
    <t>1780594729,0922</t>
  </si>
  <si>
    <t>9671,1649894714</t>
  </si>
  <si>
    <t>d7b26cc9-99bf-477b-8618-a79a6910c2ac</t>
  </si>
  <si>
    <t>1780594718,3952</t>
  </si>
  <si>
    <t>1780594729,5609</t>
  </si>
  <si>
    <t>11165,749073029</t>
  </si>
  <si>
    <t>ab08afaa-dca7-44e0-8115-23163a61de53</t>
  </si>
  <si>
    <t>1780594717,5767</t>
  </si>
  <si>
    <t>1780594729,9154</t>
  </si>
  <si>
    <t>12338,692903519</t>
  </si>
  <si>
    <t>0d2ee7b2-abb9-4066-8b42-b79eabcef5e5</t>
  </si>
  <si>
    <t>1780594719,8504</t>
  </si>
  <si>
    <t>1780594730,3918</t>
  </si>
  <si>
    <t>10541,401863098</t>
  </si>
  <si>
    <t>9a93c1be-56d2-4735-85b6-343565ca7eb1</t>
  </si>
  <si>
    <t>1780594720,1386</t>
  </si>
  <si>
    <t>1780594730,8935</t>
  </si>
  <si>
    <t>10754,951000214</t>
  </si>
  <si>
    <t>f1c3c17a-2f2a-4107-915d-0c088670fed2</t>
  </si>
  <si>
    <t>1780594720,648</t>
  </si>
  <si>
    <t>1780594731,3011</t>
  </si>
  <si>
    <t>10653,028964996</t>
  </si>
  <si>
    <t>d7c3334d-1592-474b-a684-66c399dd89fa</t>
  </si>
  <si>
    <t>1780594718,5389</t>
  </si>
  <si>
    <t>1780594731,6921</t>
  </si>
  <si>
    <t>13153,211832047</t>
  </si>
  <si>
    <t>6ae0c566-fa9e-4565-8d16-b67df831de15</t>
  </si>
  <si>
    <t>1780594721,2826</t>
  </si>
  <si>
    <t>1780594732,0051</t>
  </si>
  <si>
    <t>10722,440004349</t>
  </si>
  <si>
    <t>f6eabc09-cd8e-45a0-b007-77fcdc8e0733</t>
  </si>
  <si>
    <t>1780594718,8324</t>
  </si>
  <si>
    <t>1780594732,4279</t>
  </si>
  <si>
    <t>13595,424890518</t>
  </si>
  <si>
    <t>4c1c69ce-a839-4a04-8b16-654749e1043e</t>
  </si>
  <si>
    <t>1780594717,7194</t>
  </si>
  <si>
    <t>1780594732,8371</t>
  </si>
  <si>
    <t>15117,730140686</t>
  </si>
  <si>
    <t>87798db6-73d0-490d-830f-9b69e055d9fd</t>
  </si>
  <si>
    <t>1780594720,8523</t>
  </si>
  <si>
    <t>1780594733,2471</t>
  </si>
  <si>
    <t>12394,814014435</t>
  </si>
  <si>
    <t>eebf1b5c-c0d8-485e-8484-828ddab31891</t>
  </si>
  <si>
    <t>1780594718,0091</t>
  </si>
  <si>
    <t>1780594733,6555</t>
  </si>
  <si>
    <t>15646,450996399</t>
  </si>
  <si>
    <t>1aad388e-122a-4c80-b272-9fad6017e188</t>
  </si>
  <si>
    <t>1780594719,1327</t>
  </si>
  <si>
    <t>1780594734,0149</t>
  </si>
  <si>
    <t>14882,230997086</t>
  </si>
  <si>
    <t>139114bb-3546-4b6d-bb94-c1529d7d5409</t>
  </si>
  <si>
    <t>1780594719,9943</t>
  </si>
  <si>
    <t>1780594734,3742</t>
  </si>
  <si>
    <t>14379,87112999</t>
  </si>
  <si>
    <t>e13d2e93-2758-4adb-a77c-834e045dc8cb</t>
  </si>
  <si>
    <t>1780594722,0814</t>
  </si>
  <si>
    <t>1780594734,7322</t>
  </si>
  <si>
    <t>12650,750875473</t>
  </si>
  <si>
    <t>9b6a9b77-3cca-4d0a-ad8a-bacc45c8a276</t>
  </si>
  <si>
    <t>1780594723,0037</t>
  </si>
  <si>
    <t>1780594735,0456</t>
  </si>
  <si>
    <t>12041,832208633</t>
  </si>
  <si>
    <t>31285b8d-889d-41b8-93cf-bec2dc192bb9</t>
  </si>
  <si>
    <t>1780594719,5642</t>
  </si>
  <si>
    <t>1780594735,3954</t>
  </si>
  <si>
    <t>15831,245183945</t>
  </si>
  <si>
    <t>dd6f3194-2c65-4ea0-8556-27d7197c2b8a</t>
  </si>
  <si>
    <t>1780594719,2769</t>
  </si>
  <si>
    <t>1780594735,8084</t>
  </si>
  <si>
    <t>16531,481981277</t>
  </si>
  <si>
    <t>3e5afa40-e664-419a-b0eb-bbb0c683ec02</t>
  </si>
  <si>
    <t>1780594717,2101</t>
  </si>
  <si>
    <t>1780594736,2155</t>
  </si>
  <si>
    <t>19005,327939987</t>
  </si>
  <si>
    <t>9935ff01-d634-49fe-a739-8dbad55ee2e2</t>
  </si>
  <si>
    <t>1780594718,1964</t>
  </si>
  <si>
    <t>1780594737,1378</t>
  </si>
  <si>
    <t>18941,460132599</t>
  </si>
  <si>
    <t>708d7bd5-0354-46cc-8e21-2ab7d222fd6b</t>
  </si>
  <si>
    <t>1780594723,2084</t>
  </si>
  <si>
    <t>1780594737,5488</t>
  </si>
  <si>
    <t>14340,45791626</t>
  </si>
  <si>
    <t>768dee97-a884-489d-8743-991d3a4eac05</t>
  </si>
  <si>
    <t>1780594719,7068</t>
  </si>
  <si>
    <t>1780594737,9579</t>
  </si>
  <si>
    <t>18251,065015793</t>
  </si>
  <si>
    <t>2c08fe6f-e3e8-4a3e-9ab6-1a55a2e1000b</t>
  </si>
  <si>
    <t>1780594721,5749</t>
  </si>
  <si>
    <t>1780594738,2812</t>
  </si>
  <si>
    <t>16706,27617836</t>
  </si>
  <si>
    <t>a88e96e2-33ae-4223-9a24-729ca61b9c76</t>
  </si>
  <si>
    <t>1780594725,733</t>
  </si>
  <si>
    <t>1780594738,6738</t>
  </si>
  <si>
    <t>12940,793991089</t>
  </si>
  <si>
    <t>4d4cdaa0-c66e-4ea8-96f6-0dc77f9297c7</t>
  </si>
  <si>
    <t>1780594722,7984</t>
  </si>
  <si>
    <t>1780594739,0838</t>
  </si>
  <si>
    <t>16285,440921783</t>
  </si>
  <si>
    <t>2b1a773e-87e3-449b-929b-c7ca4cdf7e9b</t>
  </si>
  <si>
    <t>1780594724,9491</t>
  </si>
  <si>
    <t>1780594739,494</t>
  </si>
  <si>
    <t>14544,875860214</t>
  </si>
  <si>
    <t>0f5617d1-62c2-47b2-9455-fada4d950e32</t>
  </si>
  <si>
    <t>1780594726,4623</t>
  </si>
  <si>
    <t>1780594739,9028</t>
  </si>
  <si>
    <t>13440,535068512</t>
  </si>
  <si>
    <t>e0d6f98a-9a30-4f92-8a78-4fe2e58aafb0</t>
  </si>
  <si>
    <t>1780594726,8974</t>
  </si>
  <si>
    <t>1780594740,3122</t>
  </si>
  <si>
    <t>13414,743185043</t>
  </si>
  <si>
    <t>8fa7790e-1626-401a-ad18-507b50a52567</t>
  </si>
  <si>
    <t>1780594722,2863</t>
  </si>
  <si>
    <t>1780594740,7228</t>
  </si>
  <si>
    <t>18436,553955078</t>
  </si>
  <si>
    <t>8991b7a4-2697-4d4e-af74-d87f4ccf5065</t>
  </si>
  <si>
    <t>1780594726,0204</t>
  </si>
  <si>
    <t>1780594741,1317</t>
  </si>
  <si>
    <t>15111,368894577</t>
  </si>
  <si>
    <t>438fe10f-ab32-44ad-a06e-11282481e031</t>
  </si>
  <si>
    <t>1780594720,2837</t>
  </si>
  <si>
    <t>1780594741,4556</t>
  </si>
  <si>
    <t>21171,918869019</t>
  </si>
  <si>
    <t>836944ab-6374-42e8-abe2-c3b62a2205e9</t>
  </si>
  <si>
    <t>1780594720,9948</t>
  </si>
  <si>
    <t>1780594741,847</t>
  </si>
  <si>
    <t>20852,149963379</t>
  </si>
  <si>
    <t>4d3c7a3f-6b6e-4d3f-a4b4-54dcd173cc5f</t>
  </si>
  <si>
    <t>1780594721,1381</t>
  </si>
  <si>
    <t>1780594742,2575</t>
  </si>
  <si>
    <t>21119,400024414</t>
  </si>
  <si>
    <t>e9a295fa-eae1-4a21-a869-91e205808a1e</t>
  </si>
  <si>
    <t>1780594722,6375</t>
  </si>
  <si>
    <t>1780594742,6662</t>
  </si>
  <si>
    <t>20028,63907814</t>
  </si>
  <si>
    <t>609dd2ed-d3a0-46f4-969f-3bce5be2d043</t>
  </si>
  <si>
    <t>1780594726,164</t>
  </si>
  <si>
    <t>1780594743,0781</t>
  </si>
  <si>
    <t>16914,089202881</t>
  </si>
  <si>
    <t>6ae598f6-a686-4b65-8280-92eaefe02f4e</t>
  </si>
  <si>
    <t>1780594726,7548</t>
  </si>
  <si>
    <t>1780594743,4859</t>
  </si>
  <si>
    <t>16731,132030487</t>
  </si>
  <si>
    <t>ac6438c1-55f9-4de6-86ce-7ed242619b68</t>
  </si>
  <si>
    <t>1780594724,0275</t>
  </si>
  <si>
    <t>1780594743,8362</t>
  </si>
  <si>
    <t>19808,633089066</t>
  </si>
  <si>
    <t>55f9a065-08d2-49a1-a1b4-20758f249dec</t>
  </si>
  <si>
    <t>1780594727,04</t>
  </si>
  <si>
    <t>1780594744,3065</t>
  </si>
  <si>
    <t>17266,522884369</t>
  </si>
  <si>
    <t>9f264e8e-e091-4e23-8064-7e5822651975</t>
  </si>
  <si>
    <t>1780594718,983</t>
  </si>
  <si>
    <t>1780594744,7154</t>
  </si>
  <si>
    <t>25732,367992401</t>
  </si>
  <si>
    <t>bfa4228f-ccd1-4186-ab9d-eeaa2534c12b</t>
  </si>
  <si>
    <t>1780594727,4069</t>
  </si>
  <si>
    <t>1780594745,125</t>
  </si>
  <si>
    <t>17718,125104904</t>
  </si>
  <si>
    <t>b948bffe-2e83-4e06-bb27-49396675b725</t>
  </si>
  <si>
    <t>1780594725,4427</t>
  </si>
  <si>
    <t>1780594745,535</t>
  </si>
  <si>
    <t>20092,233896255</t>
  </si>
  <si>
    <t>48d1eae4-94d0-4a1e-922c-56e97f9efc1b</t>
  </si>
  <si>
    <t>1780594723,8236</t>
  </si>
  <si>
    <t>1780594745,9442</t>
  </si>
  <si>
    <t>22120,532989502</t>
  </si>
  <si>
    <t>b2d0ecb4-1c65-44b4-bec4-14901dce41a4</t>
  </si>
  <si>
    <t>1780594727,714</t>
  </si>
  <si>
    <t>1780594746,2933</t>
  </si>
  <si>
    <t>18579,367876053</t>
  </si>
  <si>
    <t>2512fad0-8001-4037-a037-043cf2768fdf</t>
  </si>
  <si>
    <t>1780594727,5491</t>
  </si>
  <si>
    <t>1780594746,7634</t>
  </si>
  <si>
    <t>19214,278936386</t>
  </si>
  <si>
    <t>184cdfc0-59ab-4739-b578-2f6d29cdcb86</t>
  </si>
  <si>
    <t>1780594720,4442</t>
  </si>
  <si>
    <t>1780594747,1402</t>
  </si>
  <si>
    <t>26696,049213409</t>
  </si>
  <si>
    <t>c591e5e0-a50f-4f16-9d78-878541139544</t>
  </si>
  <si>
    <t>1780594721,7179</t>
  </si>
  <si>
    <t>1780594747,5833</t>
  </si>
  <si>
    <t>25865,44919014</t>
  </si>
  <si>
    <t>cbeda8d1-79fd-4352-b224-78ef09f55c98</t>
  </si>
  <si>
    <t>1780594721,8766</t>
  </si>
  <si>
    <t>1780594747,9009</t>
  </si>
  <si>
    <t>26024,354934692</t>
  </si>
  <si>
    <t>1991222a-43ab-40a9-ae73-7145b95cdc37</t>
  </si>
  <si>
    <t>1780594725,2987</t>
  </si>
  <si>
    <t>1780594748,3011</t>
  </si>
  <si>
    <t>23002,394914627</t>
  </si>
  <si>
    <t>c67b43a3-6576-469d-b784-9bf4531b8f97</t>
  </si>
  <si>
    <t>1780594725,5892</t>
  </si>
  <si>
    <t>1780594748,7089</t>
  </si>
  <si>
    <t>23119,760990143</t>
  </si>
  <si>
    <t>c9e9620e-7c09-4d5d-ab3f-1c0c261db607</t>
  </si>
  <si>
    <t>1780594722,4921</t>
  </si>
  <si>
    <t>1780594749,0619</t>
  </si>
  <si>
    <t>26569,869041443</t>
  </si>
  <si>
    <t>78a4dd1e-2c12-4a03-aa93-46ed3cf2d7e7</t>
  </si>
  <si>
    <t>1780594723,6187</t>
  </si>
  <si>
    <t>1780594749,5286</t>
  </si>
  <si>
    <t>25909,854888916</t>
  </si>
  <si>
    <t>0573b8c8-a537-459e-aaf6-fa9cf0360331</t>
  </si>
  <si>
    <t>1780594721,4316</t>
  </si>
  <si>
    <t>1780594749,9391</t>
  </si>
  <si>
    <t>28507,447004318</t>
  </si>
  <si>
    <t>c5422801-4ad5-43a3-9e2c-712bae6f1347</t>
  </si>
  <si>
    <t>1780594725,1547</t>
  </si>
  <si>
    <t>1780594750,2652</t>
  </si>
  <si>
    <t>25110,566854477</t>
  </si>
  <si>
    <t>8b4258e8-82d0-4159-97fe-218cedd9282d</t>
  </si>
  <si>
    <t>1780594726,6097</t>
  </si>
  <si>
    <t>1780594750,6548</t>
  </si>
  <si>
    <t>24045,017004013</t>
  </si>
  <si>
    <t>c143a2dd-3db1-4592-bbe9-a22b5043eeca</t>
  </si>
  <si>
    <t>1780594727,2034</t>
  </si>
  <si>
    <t>1780594751,0093</t>
  </si>
  <si>
    <t>23805,943012238</t>
  </si>
  <si>
    <t>ec870264-4671-4f02-82b6-a228a88b0909</t>
  </si>
  <si>
    <t>1780594723,414</t>
  </si>
  <si>
    <t>1780594751,3344</t>
  </si>
  <si>
    <t>27920,435905457</t>
  </si>
  <si>
    <t>f494b0f0-cb28-4bd2-baad-a2fe18e7448e</t>
  </si>
  <si>
    <t>1780594724,2328</t>
  </si>
  <si>
    <t>1780594751,7804</t>
  </si>
  <si>
    <t>27547,553062439</t>
  </si>
  <si>
    <t>cfd95280-b8dc-49c0-bb5a-8de475a3896d</t>
  </si>
  <si>
    <t>1780594725,8771</t>
  </si>
  <si>
    <t>1780594752,1905</t>
  </si>
  <si>
    <t>26313,408851624</t>
  </si>
  <si>
    <t>f449e7f8-dfe8-4334-b2c6-36ff204796cb</t>
  </si>
  <si>
    <t>1780594726,3086</t>
  </si>
  <si>
    <t>1780594752,6022</t>
  </si>
  <si>
    <t>26293,596029282</t>
  </si>
  <si>
    <t>Sequence ID</t>
  </si>
  <si>
    <t>Message ID SQS</t>
  </si>
  <si>
    <t>Timestamp Coleta</t>
  </si>
  <si>
    <t>fila</t>
  </si>
  <si>
    <t>total_mensagens</t>
  </si>
  <si>
    <t>latencia_media_ms</t>
  </si>
  <si>
    <t>latencia_minima_ms</t>
  </si>
  <si>
    <t>latencia_maxima_ms</t>
  </si>
  <si>
    <t>13040,477824211132</t>
  </si>
  <si>
    <t>13975,969846248638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</si>
</sst>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000"/>
    <numFmt numFmtId="165" formatCode="0.0%"/>
    <numFmt numFmtId="166" formatCode="dd/MM/yyyy HH:mm:ss"/>
  </numFmts>
  <fonts count="5">
    <font>
      <sz val="11.0"/>
      <color theme="1"/>
      <name val="Arial"/>
      <scheme val="minor"/>
    </font>
    <font>
      <b/>
      <sz val="16.0"/>
      <color rgb="FF1B365D"/>
      <name val="Arial"/>
    </font>
    <font>
      <color theme="1"/>
      <name val="Arial"/>
      <scheme val="minor"/>
    </font>
    <font>
      <b/>
      <sz val="11.0"/>
      <color theme="1"/>
      <name val="Arial"/>
    </font>
    <font>
      <sz val="11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0F4F8"/>
        <bgColor rgb="FFF0F4F8"/>
      </patternFill>
    </fill>
  </fills>
  <borders count="2">
    <border/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64" xfId="0" applyFont="1" applyNumberFormat="1"/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1" fillId="2" fontId="4" numFmtId="0" xfId="0" applyAlignment="1" applyBorder="1" applyFill="1" applyFont="1">
      <alignment horizontal="left" shrinkToFit="0" vertical="center" wrapText="0"/>
    </xf>
    <xf borderId="1" fillId="2" fontId="4" numFmtId="0" xfId="0" applyAlignment="1" applyBorder="1" applyFont="1">
      <alignment horizontal="right" shrinkToFit="0" vertical="center" wrapText="0"/>
    </xf>
    <xf borderId="1" fillId="2" fontId="4" numFmtId="4" xfId="0" applyAlignment="1" applyBorder="1" applyFont="1" applyNumberFormat="1">
      <alignment shrinkToFit="0" vertical="center" wrapText="0"/>
    </xf>
    <xf borderId="1" fillId="0" fontId="4" numFmtId="0" xfId="0" applyAlignment="1" applyBorder="1" applyFont="1">
      <alignment horizontal="left" shrinkToFit="0" vertical="center" wrapText="0"/>
    </xf>
    <xf borderId="1" fillId="0" fontId="4" numFmtId="0" xfId="0" applyAlignment="1" applyBorder="1" applyFont="1">
      <alignment horizontal="right" shrinkToFit="0" vertical="center" wrapText="0"/>
    </xf>
    <xf borderId="1" fillId="0" fontId="4" numFmtId="4" xfId="0" applyAlignment="1" applyBorder="1" applyFont="1" applyNumberFormat="1">
      <alignment shrinkToFit="0" vertical="center" wrapText="0"/>
    </xf>
    <xf borderId="0" fillId="0" fontId="3" numFmtId="0" xfId="0" applyFont="1"/>
    <xf borderId="1" fillId="2" fontId="4" numFmtId="3" xfId="0" applyAlignment="1" applyBorder="1" applyFont="1" applyNumberFormat="1">
      <alignment shrinkToFit="0" vertical="center" wrapText="0"/>
    </xf>
    <xf borderId="1" fillId="2" fontId="4" numFmtId="165" xfId="0" applyAlignment="1" applyBorder="1" applyFont="1" applyNumberFormat="1">
      <alignment shrinkToFit="0" vertical="center" wrapText="0"/>
    </xf>
    <xf borderId="1" fillId="0" fontId="4" numFmtId="3" xfId="0" applyAlignment="1" applyBorder="1" applyFont="1" applyNumberFormat="1">
      <alignment shrinkToFit="0" vertical="center" wrapText="0"/>
    </xf>
    <xf borderId="1" fillId="0" fontId="4" numFmtId="165" xfId="0" applyAlignment="1" applyBorder="1" applyFont="1" applyNumberFormat="1">
      <alignment shrinkToFit="0" vertical="center" wrapText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quotePrefix="1" borderId="0" fillId="0" fontId="2" numFmtId="0" xfId="0" applyAlignment="1" applyFont="1">
      <alignment readingOrder="0" shrinkToFit="0" vertical="center" wrapText="0"/>
    </xf>
    <xf borderId="0" fillId="0" fontId="2" numFmtId="166" xfId="0" applyAlignment="1" applyFont="1" applyNumberForma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1" fillId="0" fontId="4" numFmtId="0" xfId="0" applyAlignment="1" applyBorder="1" applyFont="1">
      <alignment shrinkToFit="0" vertical="center" wrapText="0"/>
    </xf>
    <xf borderId="1" fillId="0" fontId="4" numFmtId="0" xfId="0" applyAlignment="1" applyBorder="1" applyFont="1">
      <alignment shrinkToFit="0" vertical="center" wrapText="0"/>
    </xf>
    <xf borderId="1" fillId="0" fontId="4" numFmtId="166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Dashboard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ashboard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anco de dado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Dados ordenados pela criação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Métricas comparativas-style">
      <tableStyleElement dxfId="5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Índice de Inversão (Erros de Ordenação)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Dashboard!$C$10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1"/>
          </c:dPt>
          <c:cat>
            <c:strRef>
              <c:f>Dashboard!$A$11:$A$12</c:f>
            </c:strRef>
          </c:cat>
          <c:val>
            <c:numRef>
              <c:f>Dashboard!$C$11:$C$12</c:f>
              <c:numCache/>
            </c:numRef>
          </c:val>
        </c:ser>
        <c:axId val="1640803112"/>
        <c:axId val="1633308737"/>
      </c:barChart>
      <c:catAx>
        <c:axId val="16408031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Tipo de Fila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3308737"/>
      </c:catAx>
      <c:valAx>
        <c:axId val="16333087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Quantidade de Inversões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0803112"/>
      </c:valAx>
    </c:plotArea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FIFO e Standard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Standard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2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chemeClr val="accent2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2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Dashboard!$C$4:$E$4</c:f>
            </c:strRef>
          </c:cat>
          <c:val>
            <c:numRef>
              <c:f>Dashboard!$C$5:$E$5</c:f>
              <c:numCache/>
            </c:numRef>
          </c:val>
        </c:ser>
        <c:ser>
          <c:idx val="1"/>
          <c:order val="1"/>
          <c:tx>
            <c:v>FIFO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Dashboard!$C$4:$E$4</c:f>
            </c:strRef>
          </c:cat>
          <c:val>
            <c:numRef>
              <c:f>Dashboard!$C$6:$E$6</c:f>
              <c:numCache/>
            </c:numRef>
          </c:val>
        </c:ser>
        <c:axId val="156671697"/>
        <c:axId val="1218995582"/>
      </c:barChart>
      <c:catAx>
        <c:axId val="1566716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Tipo de Fila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8995582"/>
      </c:catAx>
      <c:valAx>
        <c:axId val="12189955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67169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419100</xdr:colOff>
      <xdr:row>15</xdr:row>
      <xdr:rowOff>38100</xdr:rowOff>
    </xdr:from>
    <xdr:ext cx="5486400" cy="359092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419100</xdr:colOff>
      <xdr:row>34</xdr:row>
      <xdr:rowOff>133350</xdr:rowOff>
    </xdr:from>
    <xdr:ext cx="11315700" cy="5048250"/>
    <xdr:pic>
      <xdr:nvPicPr>
        <xdr:cNvPr id="575756566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752475</xdr:colOff>
      <xdr:row>15</xdr:row>
      <xdr:rowOff>38100</xdr:rowOff>
    </xdr:from>
    <xdr:ext cx="5486400" cy="3590925"/>
    <xdr:graphicFrame>
      <xdr:nvGraphicFramePr>
        <xdr:cNvPr id="3" name="Chart 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4:E6" displayName="Métricas_de_Latência_Baseadas_na_Amostra" name="Métricas_de_Latência_Baseadas_na_Amostra" id="1">
  <tableColumns count="5">
    <tableColumn name="Tipo de Fila" id="1"/>
    <tableColumn name="Total Mensagens" id="2"/>
    <tableColumn name="Latência Média (ms)" id="3"/>
    <tableColumn name="Latência Mínima (ms)" id="4"/>
    <tableColumn name="Latência Máxima (ms)" id="5"/>
  </tableColumns>
  <tableStyleInfo name="Dashboard-style" showColumnStripes="0" showFirstColumn="1" showLastColumn="1" showRowStripes="1"/>
</table>
</file>

<file path=xl/tables/table2.xml><?xml version="1.0" encoding="utf-8"?>
<table xmlns="http://schemas.openxmlformats.org/spreadsheetml/2006/main" ref="A10:D12" displayName="Métricas_de_Consistência_Operacional_e_Vazão" name="Métricas_de_Consistência_Operacional_e_Vazão" id="2">
  <tableColumns count="4">
    <tableColumn name="Tipo de Fila" id="1"/>
    <tableColumn name="Throughput (msg/s)" id="2"/>
    <tableColumn name="Quantidade de Inversões" id="3"/>
    <tableColumn name="Taxa de Desordenamento" id="4"/>
  </tableColumns>
  <tableStyleInfo name="Dashboard-style 2" showColumnStripes="0" showFirstColumn="1" showLastColumn="1" showRowStripes="1"/>
</table>
</file>

<file path=xl/tables/table3.xml><?xml version="1.0" encoding="utf-8"?>
<table xmlns="http://schemas.openxmlformats.org/spreadsheetml/2006/main" ref="A1:I201" displayName="Tabela_2" name="Tabela_2" id="3">
  <tableColumns count="9">
    <tableColumn name="id" id="1"/>
    <tableColumn name="queue_type" id="2"/>
    <tableColumn name="sequence_id" id="3"/>
    <tableColumn name="sqs_message_id" id="4"/>
    <tableColumn name="sent_timestamp" id="5"/>
    <tableColumn name="received_timestamp" id="6"/>
    <tableColumn name="latency_ms" id="7"/>
    <tableColumn name="created_at" id="8"/>
    <tableColumn name="updated_at" id="9"/>
  </tableColumns>
  <tableStyleInfo name="Banco de dados-style" showColumnStripes="0" showFirstColumn="1" showLastColumn="1" showRowStripes="1"/>
</table>
</file>

<file path=xl/tables/table4.xml><?xml version="1.0" encoding="utf-8"?>
<table xmlns="http://schemas.openxmlformats.org/spreadsheetml/2006/main" ref="A1:D201" displayName="Tabela_1" name="Tabela_1" id="4">
  <tableColumns count="4">
    <tableColumn name="Tipo de Fila" id="1"/>
    <tableColumn name="Sequence ID" id="2"/>
    <tableColumn name="Message ID SQS" id="3"/>
    <tableColumn name="Timestamp Coleta" id="4"/>
  </tableColumns>
  <tableStyleInfo name="Dados ordenados pela criação-style" showColumnStripes="0" showFirstColumn="1" showLastColumn="1" showRowStripes="1"/>
</table>
</file>

<file path=xl/tables/table5.xml><?xml version="1.0" encoding="utf-8"?>
<table xmlns="http://schemas.openxmlformats.org/spreadsheetml/2006/main" ref="A1:E3" displayName="Tabela_3" name="Tabela_3" id="5">
  <tableColumns count="5">
    <tableColumn name="fila" id="1"/>
    <tableColumn name="total_mensagens" id="2"/>
    <tableColumn name="latencia_media_ms" id="3"/>
    <tableColumn name="latencia_minima_ms" id="4"/>
    <tableColumn name="latencia_maxima_ms" id="5"/>
  </tableColumns>
  <tableStyleInfo name="Métricas comparativ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3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4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8.13"/>
    <col customWidth="1" min="2" max="2" width="24.0"/>
    <col customWidth="1" min="3" max="3" width="29.13"/>
    <col customWidth="1" min="4" max="4" width="31.88"/>
    <col customWidth="1" min="5" max="5" width="29.0"/>
    <col customWidth="1" min="6" max="26" width="7.63"/>
  </cols>
  <sheetData>
    <row r="1" ht="30.0" customHeight="1">
      <c r="A1" s="1" t="s">
        <v>0</v>
      </c>
      <c r="Z1" s="2"/>
    </row>
    <row r="2">
      <c r="Z2" s="2"/>
    </row>
    <row r="3" ht="24.75" customHeight="1">
      <c r="A3" s="3"/>
      <c r="B3" s="3"/>
      <c r="C3" s="3"/>
      <c r="D3" s="3"/>
      <c r="E3" s="3"/>
    </row>
    <row r="4" ht="24.75" customHeight="1">
      <c r="A4" s="4" t="s">
        <v>1</v>
      </c>
      <c r="B4" s="4" t="s">
        <v>2</v>
      </c>
      <c r="C4" s="4" t="s">
        <v>3</v>
      </c>
      <c r="D4" s="4" t="s">
        <v>4</v>
      </c>
      <c r="E4" s="4" t="s">
        <v>5</v>
      </c>
    </row>
    <row r="5" ht="22.5" customHeight="1">
      <c r="A5" s="5" t="s">
        <v>6</v>
      </c>
      <c r="B5" s="6">
        <f>COUNTIF('Banco de dados'!B:B, "fifo")</f>
        <v>100</v>
      </c>
      <c r="C5" s="7">
        <f>IFERROR(__xludf.DUMMYFUNCTION("AVERAGE(FILTER(INDEX(VALUE('Banco de dados'!$G$2:$G$201)), 'Banco de dados'!$B$2:$B$201=A5))"),13040.477824211132)</f>
        <v>13040.47782</v>
      </c>
      <c r="D5" s="7">
        <f>IFERROR(__xludf.DUMMYFUNCTION("MIN(FILTER(INDEX(VALUE('Banco de dados'!$G$2:$G$201)), 'Banco de dados'!$B$2:$B$201=A5)) "),2706.0508728027)</f>
        <v>2706.050873</v>
      </c>
      <c r="E5" s="7">
        <f>IFERROR(__xludf.DUMMYFUNCTION("MAX(FILTER(INDEX(VALUE('Banco de dados'!$G$2:$G$201)), 'Banco de dados'!$B$2:$B$201=A5))"),24169.432163239)</f>
        <v>24169.43216</v>
      </c>
    </row>
    <row r="6" ht="22.5" customHeight="1">
      <c r="A6" s="8" t="s">
        <v>7</v>
      </c>
      <c r="B6" s="9">
        <f>COUNTIF('Banco de dados'!B:B, "standard")</f>
        <v>100</v>
      </c>
      <c r="C6" s="10">
        <f>IFERROR(__xludf.DUMMYFUNCTION("AVERAGE(FILTER(INDEX(VALUE('Banco de dados'!$G$2:$G$201)), 'Banco de dados'!$B$2:$B$201=A6))"),13975.969846248638)</f>
        <v>13975.96985</v>
      </c>
      <c r="D6" s="10">
        <f>IFERROR(__xludf.DUMMYFUNCTION("MIN(FILTER(INDEX(VALUE('Banco de dados'!$G$2:$G$201)), 'Banco de dados'!$B$2:$B$201=A6)) "),1847.2571372986)</f>
        <v>1847.257137</v>
      </c>
      <c r="E6" s="10">
        <f>IFERROR(__xludf.DUMMYFUNCTION("MAX(FILTER(INDEX(VALUE('Banco de dados'!$G$2:$G$201)), 'Banco de dados'!$B$2:$B$201=A6))"),28507.447004318)</f>
        <v>28507.447</v>
      </c>
    </row>
    <row r="8">
      <c r="A8" s="11"/>
    </row>
    <row r="9" ht="24.75" customHeight="1">
      <c r="A9" s="3"/>
      <c r="B9" s="3"/>
      <c r="C9" s="3"/>
      <c r="D9" s="3"/>
    </row>
    <row r="10" ht="24.75" customHeight="1">
      <c r="A10" s="4" t="s">
        <v>1</v>
      </c>
      <c r="B10" s="4" t="s">
        <v>8</v>
      </c>
      <c r="C10" s="4" t="s">
        <v>9</v>
      </c>
      <c r="D10" s="4" t="s">
        <v>10</v>
      </c>
    </row>
    <row r="11" ht="22.5" customHeight="1">
      <c r="A11" s="5" t="s">
        <v>6</v>
      </c>
      <c r="B11" s="7">
        <f>IFERROR(__xludf.DUMMYFUNCTION("B5 / (MAX(FILTER(VALUE('Banco de dados'!F$2:F1000), LOWER('Banco de dados'!B$2:B1000)=LOWER(A11))) - MIN(FILTER(VALUE('Banco de dados'!E$2:E1000), LOWER('Banco de dados'!B$2:B1000)=LOWER(A11))))"),2.3604000402375704)</f>
        <v>2.36040004</v>
      </c>
      <c r="C11" s="12">
        <f>IFERROR(__xludf.DUMMYFUNCTION("LET(arr, FILTER('Dados ordenados pela criação'!B$2:B1000, LOWER('Dados ordenados pela criação'!A$2:A1000)=LOWER(A11)), SUM(ARRAYFORMULA(N(VALUE(arr) &lt;&gt; VALUE({0; CHOOSEROWS(arr, SEQUENCE(ROWS(arr)-1))}) + 1))))"),0.0)</f>
        <v>0</v>
      </c>
      <c r="D11" s="13">
        <f>C11 / COUNTIF('Dados ordenados pela criação'!A:A, A11)</f>
        <v>0</v>
      </c>
    </row>
    <row r="12" ht="22.5" customHeight="1">
      <c r="A12" s="8" t="s">
        <v>7</v>
      </c>
      <c r="B12" s="10">
        <f>IFERROR(__xludf.DUMMYFUNCTION("B6 / (MAX(FILTER(VALUE('Banco de dados'!F$2:F1000), LOWER('Banco de dados'!B$2:B1000)=LOWER(A12))) - MIN(FILTER(VALUE('Banco de dados'!E$2:E1000), LOWER('Banco de dados'!B$2:B1000)=LOWER(A12))))"),2.3182438810024104)</f>
        <v>2.318243881</v>
      </c>
      <c r="C12" s="14">
        <f>IFERROR(__xludf.DUMMYFUNCTION("LET(arr, FILTER('Dados ordenados pela criação'!B$2:B1000, LOWER('Dados ordenados pela criação'!A$2:A1000)=LOWER(A12)), SUM(ARRAYFORMULA(N(VALUE(arr) &lt;&gt; VALUE({0; CHOOSEROWS(arr, SEQUENCE(ROWS(arr)-1))}) + 1))))"),97.0)</f>
        <v>97</v>
      </c>
      <c r="D12" s="15">
        <f>C12 / COUNTIF('Dados ordenados pela criação'!A:A, A12)</f>
        <v>0.97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>
      <c r="E43" s="16" t="s">
        <v>11</v>
      </c>
    </row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custom" allowBlank="1" showDropDown="1" sqref="C5:E6 B11:D12">
      <formula1>AND(ISNUMBER(B5),(NOT(OR(NOT(ISERROR(DATEVALUE(B5))), AND(ISNUMBER(B5), LEFT(CELL("format", B5))="D")))))</formula1>
    </dataValidation>
  </dataValidations>
  <printOptions/>
  <pageMargins bottom="1.0" footer="0.0" header="0.0" left="0.75" right="0.75" top="1.0"/>
  <pageSetup orientation="landscape"/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2" max="2" width="18.0"/>
    <col customWidth="1" min="3" max="3" width="18.88"/>
    <col customWidth="1" min="4" max="4" width="36.88"/>
    <col customWidth="1" min="5" max="5" width="21.88"/>
    <col customWidth="1" min="6" max="6" width="25.25"/>
    <col customWidth="1" min="7" max="7" width="20.88"/>
    <col customWidth="1" min="8" max="9" width="22.75"/>
  </cols>
  <sheetData>
    <row r="1" ht="22.5" customHeight="1">
      <c r="A1" s="17" t="s">
        <v>12</v>
      </c>
      <c r="B1" s="17" t="s">
        <v>13</v>
      </c>
      <c r="C1" s="17" t="s">
        <v>14</v>
      </c>
      <c r="D1" s="17" t="s">
        <v>15</v>
      </c>
      <c r="E1" s="17" t="s">
        <v>16</v>
      </c>
      <c r="F1" s="17" t="s">
        <v>17</v>
      </c>
      <c r="G1" s="17" t="s">
        <v>18</v>
      </c>
      <c r="H1" s="17" t="s">
        <v>19</v>
      </c>
      <c r="I1" s="17" t="s">
        <v>20</v>
      </c>
    </row>
    <row r="2" ht="22.5" customHeight="1">
      <c r="A2" s="18">
        <v>1.0</v>
      </c>
      <c r="B2" s="19" t="s">
        <v>21</v>
      </c>
      <c r="C2" s="18">
        <v>1.0</v>
      </c>
      <c r="D2" s="20" t="s">
        <v>22</v>
      </c>
      <c r="E2" s="21" t="s">
        <v>23</v>
      </c>
      <c r="F2" s="21" t="s">
        <v>24</v>
      </c>
      <c r="G2" s="21" t="s">
        <v>25</v>
      </c>
      <c r="H2" s="22">
        <v>46177.733715277776</v>
      </c>
      <c r="I2" s="22">
        <v>46177.733715277776</v>
      </c>
    </row>
    <row r="3" ht="22.5" customHeight="1">
      <c r="A3" s="18">
        <v>2.0</v>
      </c>
      <c r="B3" s="19" t="s">
        <v>21</v>
      </c>
      <c r="C3" s="18">
        <v>2.0</v>
      </c>
      <c r="D3" s="20" t="s">
        <v>26</v>
      </c>
      <c r="E3" s="21" t="s">
        <v>27</v>
      </c>
      <c r="F3" s="21" t="s">
        <v>28</v>
      </c>
      <c r="G3" s="21" t="s">
        <v>29</v>
      </c>
      <c r="H3" s="22">
        <v>46177.733715277776</v>
      </c>
      <c r="I3" s="22">
        <v>46177.733715277776</v>
      </c>
    </row>
    <row r="4" ht="22.5" customHeight="1">
      <c r="A4" s="18">
        <v>3.0</v>
      </c>
      <c r="B4" s="19" t="s">
        <v>21</v>
      </c>
      <c r="C4" s="18">
        <v>3.0</v>
      </c>
      <c r="D4" s="20" t="s">
        <v>30</v>
      </c>
      <c r="E4" s="21" t="s">
        <v>31</v>
      </c>
      <c r="F4" s="21" t="s">
        <v>32</v>
      </c>
      <c r="G4" s="21" t="s">
        <v>33</v>
      </c>
      <c r="H4" s="22">
        <v>46177.733715277776</v>
      </c>
      <c r="I4" s="22">
        <v>46177.733715277776</v>
      </c>
    </row>
    <row r="5" ht="22.5" customHeight="1">
      <c r="A5" s="18">
        <v>4.0</v>
      </c>
      <c r="B5" s="19" t="s">
        <v>21</v>
      </c>
      <c r="C5" s="18">
        <v>4.0</v>
      </c>
      <c r="D5" s="20" t="s">
        <v>34</v>
      </c>
      <c r="E5" s="21" t="s">
        <v>35</v>
      </c>
      <c r="F5" s="21" t="s">
        <v>36</v>
      </c>
      <c r="G5" s="21" t="s">
        <v>37</v>
      </c>
      <c r="H5" s="22">
        <v>46177.73372685185</v>
      </c>
      <c r="I5" s="22">
        <v>46177.73372685185</v>
      </c>
    </row>
    <row r="6" ht="22.5" customHeight="1">
      <c r="A6" s="18">
        <v>5.0</v>
      </c>
      <c r="B6" s="19" t="s">
        <v>21</v>
      </c>
      <c r="C6" s="18">
        <v>5.0</v>
      </c>
      <c r="D6" s="20" t="s">
        <v>38</v>
      </c>
      <c r="E6" s="21" t="s">
        <v>39</v>
      </c>
      <c r="F6" s="21" t="s">
        <v>40</v>
      </c>
      <c r="G6" s="21" t="s">
        <v>41</v>
      </c>
      <c r="H6" s="22">
        <v>46177.73372685185</v>
      </c>
      <c r="I6" s="22">
        <v>46177.73372685185</v>
      </c>
    </row>
    <row r="7" ht="22.5" customHeight="1">
      <c r="A7" s="18">
        <v>6.0</v>
      </c>
      <c r="B7" s="19" t="s">
        <v>21</v>
      </c>
      <c r="C7" s="18">
        <v>6.0</v>
      </c>
      <c r="D7" s="20" t="s">
        <v>42</v>
      </c>
      <c r="E7" s="21" t="s">
        <v>43</v>
      </c>
      <c r="F7" s="21" t="s">
        <v>44</v>
      </c>
      <c r="G7" s="21" t="s">
        <v>45</v>
      </c>
      <c r="H7" s="22">
        <v>46177.73372685185</v>
      </c>
      <c r="I7" s="22">
        <v>46177.73372685185</v>
      </c>
    </row>
    <row r="8" ht="22.5" customHeight="1">
      <c r="A8" s="18">
        <v>7.0</v>
      </c>
      <c r="B8" s="19" t="s">
        <v>21</v>
      </c>
      <c r="C8" s="18">
        <v>7.0</v>
      </c>
      <c r="D8" s="20" t="s">
        <v>46</v>
      </c>
      <c r="E8" s="21" t="s">
        <v>47</v>
      </c>
      <c r="F8" s="21" t="s">
        <v>48</v>
      </c>
      <c r="G8" s="21" t="s">
        <v>49</v>
      </c>
      <c r="H8" s="22">
        <v>46177.73373842592</v>
      </c>
      <c r="I8" s="22">
        <v>46177.73373842592</v>
      </c>
    </row>
    <row r="9" ht="22.5" customHeight="1">
      <c r="A9" s="18">
        <v>8.0</v>
      </c>
      <c r="B9" s="19" t="s">
        <v>21</v>
      </c>
      <c r="C9" s="18">
        <v>8.0</v>
      </c>
      <c r="D9" s="20" t="s">
        <v>50</v>
      </c>
      <c r="E9" s="21" t="s">
        <v>51</v>
      </c>
      <c r="F9" s="21" t="s">
        <v>52</v>
      </c>
      <c r="G9" s="21" t="s">
        <v>53</v>
      </c>
      <c r="H9" s="22">
        <v>46177.73373842592</v>
      </c>
      <c r="I9" s="22">
        <v>46177.73373842592</v>
      </c>
    </row>
    <row r="10" ht="22.5" customHeight="1">
      <c r="A10" s="18">
        <v>9.0</v>
      </c>
      <c r="B10" s="19" t="s">
        <v>21</v>
      </c>
      <c r="C10" s="18">
        <v>9.0</v>
      </c>
      <c r="D10" s="20" t="s">
        <v>54</v>
      </c>
      <c r="E10" s="21" t="s">
        <v>55</v>
      </c>
      <c r="F10" s="21" t="s">
        <v>56</v>
      </c>
      <c r="G10" s="21" t="s">
        <v>57</v>
      </c>
      <c r="H10" s="22">
        <v>46177.73373842592</v>
      </c>
      <c r="I10" s="22">
        <v>46177.73373842592</v>
      </c>
    </row>
    <row r="11" ht="22.5" customHeight="1">
      <c r="A11" s="18">
        <v>10.0</v>
      </c>
      <c r="B11" s="19" t="s">
        <v>21</v>
      </c>
      <c r="C11" s="18">
        <v>10.0</v>
      </c>
      <c r="D11" s="20" t="s">
        <v>58</v>
      </c>
      <c r="E11" s="21" t="s">
        <v>59</v>
      </c>
      <c r="F11" s="21" t="s">
        <v>60</v>
      </c>
      <c r="G11" s="21" t="s">
        <v>61</v>
      </c>
      <c r="H11" s="22">
        <v>46177.73375</v>
      </c>
      <c r="I11" s="22">
        <v>46177.73375</v>
      </c>
    </row>
    <row r="12" ht="22.5" customHeight="1">
      <c r="A12" s="18">
        <v>11.0</v>
      </c>
      <c r="B12" s="19" t="s">
        <v>21</v>
      </c>
      <c r="C12" s="18">
        <v>11.0</v>
      </c>
      <c r="D12" s="20" t="s">
        <v>62</v>
      </c>
      <c r="E12" s="21" t="s">
        <v>63</v>
      </c>
      <c r="F12" s="21" t="s">
        <v>64</v>
      </c>
      <c r="G12" s="21" t="s">
        <v>65</v>
      </c>
      <c r="H12" s="22">
        <v>46177.73375</v>
      </c>
      <c r="I12" s="22">
        <v>46177.73375</v>
      </c>
    </row>
    <row r="13" ht="22.5" customHeight="1">
      <c r="A13" s="18">
        <v>12.0</v>
      </c>
      <c r="B13" s="19" t="s">
        <v>21</v>
      </c>
      <c r="C13" s="18">
        <v>12.0</v>
      </c>
      <c r="D13" s="20" t="s">
        <v>66</v>
      </c>
      <c r="E13" s="21" t="s">
        <v>67</v>
      </c>
      <c r="F13" s="21" t="s">
        <v>68</v>
      </c>
      <c r="G13" s="21" t="s">
        <v>69</v>
      </c>
      <c r="H13" s="22">
        <v>46177.73375</v>
      </c>
      <c r="I13" s="22">
        <v>46177.73375</v>
      </c>
    </row>
    <row r="14" ht="22.5" customHeight="1">
      <c r="A14" s="18">
        <v>13.0</v>
      </c>
      <c r="B14" s="19" t="s">
        <v>21</v>
      </c>
      <c r="C14" s="18">
        <v>13.0</v>
      </c>
      <c r="D14" s="20" t="s">
        <v>70</v>
      </c>
      <c r="E14" s="21" t="s">
        <v>71</v>
      </c>
      <c r="F14" s="21" t="s">
        <v>72</v>
      </c>
      <c r="G14" s="21" t="s">
        <v>73</v>
      </c>
      <c r="H14" s="22">
        <v>46177.733761574076</v>
      </c>
      <c r="I14" s="22">
        <v>46177.733761574076</v>
      </c>
    </row>
    <row r="15" ht="22.5" customHeight="1">
      <c r="A15" s="18">
        <v>14.0</v>
      </c>
      <c r="B15" s="19" t="s">
        <v>21</v>
      </c>
      <c r="C15" s="18">
        <v>14.0</v>
      </c>
      <c r="D15" s="20" t="s">
        <v>74</v>
      </c>
      <c r="E15" s="21" t="s">
        <v>75</v>
      </c>
      <c r="F15" s="21" t="s">
        <v>76</v>
      </c>
      <c r="G15" s="21" t="s">
        <v>77</v>
      </c>
      <c r="H15" s="22">
        <v>46177.733761574076</v>
      </c>
      <c r="I15" s="22">
        <v>46177.733761574076</v>
      </c>
    </row>
    <row r="16" ht="22.5" customHeight="1">
      <c r="A16" s="18">
        <v>15.0</v>
      </c>
      <c r="B16" s="19" t="s">
        <v>21</v>
      </c>
      <c r="C16" s="18">
        <v>15.0</v>
      </c>
      <c r="D16" s="20" t="s">
        <v>78</v>
      </c>
      <c r="E16" s="21" t="s">
        <v>79</v>
      </c>
      <c r="F16" s="21" t="s">
        <v>80</v>
      </c>
      <c r="G16" s="21" t="s">
        <v>81</v>
      </c>
      <c r="H16" s="22">
        <v>46177.733773148146</v>
      </c>
      <c r="I16" s="22">
        <v>46177.733773148146</v>
      </c>
    </row>
    <row r="17" ht="22.5" customHeight="1">
      <c r="A17" s="18">
        <v>16.0</v>
      </c>
      <c r="B17" s="19" t="s">
        <v>21</v>
      </c>
      <c r="C17" s="18">
        <v>16.0</v>
      </c>
      <c r="D17" s="20" t="s">
        <v>82</v>
      </c>
      <c r="E17" s="21" t="s">
        <v>83</v>
      </c>
      <c r="F17" s="21" t="s">
        <v>84</v>
      </c>
      <c r="G17" s="21" t="s">
        <v>85</v>
      </c>
      <c r="H17" s="22">
        <v>46177.733773148146</v>
      </c>
      <c r="I17" s="22">
        <v>46177.733773148146</v>
      </c>
    </row>
    <row r="18" ht="22.5" customHeight="1">
      <c r="A18" s="18">
        <v>17.0</v>
      </c>
      <c r="B18" s="19" t="s">
        <v>21</v>
      </c>
      <c r="C18" s="18">
        <v>17.0</v>
      </c>
      <c r="D18" s="20" t="s">
        <v>86</v>
      </c>
      <c r="E18" s="21" t="s">
        <v>87</v>
      </c>
      <c r="F18" s="21" t="s">
        <v>88</v>
      </c>
      <c r="G18" s="21" t="s">
        <v>89</v>
      </c>
      <c r="H18" s="22">
        <v>46177.733773148146</v>
      </c>
      <c r="I18" s="22">
        <v>46177.733773148146</v>
      </c>
    </row>
    <row r="19" ht="22.5" customHeight="1">
      <c r="A19" s="18">
        <v>18.0</v>
      </c>
      <c r="B19" s="19" t="s">
        <v>21</v>
      </c>
      <c r="C19" s="18">
        <v>18.0</v>
      </c>
      <c r="D19" s="20" t="s">
        <v>90</v>
      </c>
      <c r="E19" s="21" t="s">
        <v>91</v>
      </c>
      <c r="F19" s="21" t="s">
        <v>92</v>
      </c>
      <c r="G19" s="21" t="s">
        <v>93</v>
      </c>
      <c r="H19" s="22">
        <v>46177.73378472222</v>
      </c>
      <c r="I19" s="22">
        <v>46177.73378472222</v>
      </c>
    </row>
    <row r="20" ht="22.5" customHeight="1">
      <c r="A20" s="18">
        <v>19.0</v>
      </c>
      <c r="B20" s="19" t="s">
        <v>21</v>
      </c>
      <c r="C20" s="18">
        <v>19.0</v>
      </c>
      <c r="D20" s="20" t="s">
        <v>94</v>
      </c>
      <c r="E20" s="21" t="s">
        <v>95</v>
      </c>
      <c r="F20" s="21" t="s">
        <v>96</v>
      </c>
      <c r="G20" s="21" t="s">
        <v>97</v>
      </c>
      <c r="H20" s="22">
        <v>46177.7337962963</v>
      </c>
      <c r="I20" s="22">
        <v>46177.7337962963</v>
      </c>
    </row>
    <row r="21" ht="22.5" customHeight="1">
      <c r="A21" s="18">
        <v>20.0</v>
      </c>
      <c r="B21" s="19" t="s">
        <v>21</v>
      </c>
      <c r="C21" s="18">
        <v>20.0</v>
      </c>
      <c r="D21" s="20" t="s">
        <v>98</v>
      </c>
      <c r="E21" s="21" t="s">
        <v>99</v>
      </c>
      <c r="F21" s="21" t="s">
        <v>100</v>
      </c>
      <c r="G21" s="21" t="s">
        <v>101</v>
      </c>
      <c r="H21" s="22">
        <v>46177.7337962963</v>
      </c>
      <c r="I21" s="22">
        <v>46177.7337962963</v>
      </c>
    </row>
    <row r="22" ht="22.5" customHeight="1">
      <c r="A22" s="18">
        <v>21.0</v>
      </c>
      <c r="B22" s="19" t="s">
        <v>21</v>
      </c>
      <c r="C22" s="18">
        <v>21.0</v>
      </c>
      <c r="D22" s="20" t="s">
        <v>102</v>
      </c>
      <c r="E22" s="21" t="s">
        <v>103</v>
      </c>
      <c r="F22" s="21" t="s">
        <v>104</v>
      </c>
      <c r="G22" s="21" t="s">
        <v>105</v>
      </c>
      <c r="H22" s="22">
        <v>46177.7337962963</v>
      </c>
      <c r="I22" s="22">
        <v>46177.7337962963</v>
      </c>
    </row>
    <row r="23" ht="22.5" customHeight="1">
      <c r="A23" s="18">
        <v>22.0</v>
      </c>
      <c r="B23" s="19" t="s">
        <v>21</v>
      </c>
      <c r="C23" s="18">
        <v>22.0</v>
      </c>
      <c r="D23" s="20" t="s">
        <v>106</v>
      </c>
      <c r="E23" s="21" t="s">
        <v>107</v>
      </c>
      <c r="F23" s="21" t="s">
        <v>108</v>
      </c>
      <c r="G23" s="21" t="s">
        <v>109</v>
      </c>
      <c r="H23" s="22">
        <v>46177.73380787037</v>
      </c>
      <c r="I23" s="22">
        <v>46177.73380787037</v>
      </c>
    </row>
    <row r="24" ht="22.5" customHeight="1">
      <c r="A24" s="18">
        <v>23.0</v>
      </c>
      <c r="B24" s="19" t="s">
        <v>21</v>
      </c>
      <c r="C24" s="18">
        <v>23.0</v>
      </c>
      <c r="D24" s="20" t="s">
        <v>110</v>
      </c>
      <c r="E24" s="21" t="s">
        <v>111</v>
      </c>
      <c r="F24" s="21" t="s">
        <v>112</v>
      </c>
      <c r="G24" s="21" t="s">
        <v>113</v>
      </c>
      <c r="H24" s="22">
        <v>46177.73380787037</v>
      </c>
      <c r="I24" s="22">
        <v>46177.73380787037</v>
      </c>
    </row>
    <row r="25" ht="22.5" customHeight="1">
      <c r="A25" s="18">
        <v>24.0</v>
      </c>
      <c r="B25" s="19" t="s">
        <v>21</v>
      </c>
      <c r="C25" s="18">
        <v>24.0</v>
      </c>
      <c r="D25" s="20" t="s">
        <v>114</v>
      </c>
      <c r="E25" s="21" t="s">
        <v>115</v>
      </c>
      <c r="F25" s="21" t="s">
        <v>116</v>
      </c>
      <c r="G25" s="21" t="s">
        <v>117</v>
      </c>
      <c r="H25" s="22">
        <v>46177.73380787037</v>
      </c>
      <c r="I25" s="22">
        <v>46177.73380787037</v>
      </c>
    </row>
    <row r="26" ht="22.5" customHeight="1">
      <c r="A26" s="18">
        <v>25.0</v>
      </c>
      <c r="B26" s="19" t="s">
        <v>21</v>
      </c>
      <c r="C26" s="18">
        <v>25.0</v>
      </c>
      <c r="D26" s="20" t="s">
        <v>118</v>
      </c>
      <c r="E26" s="21" t="s">
        <v>119</v>
      </c>
      <c r="F26" s="21" t="s">
        <v>120</v>
      </c>
      <c r="G26" s="21" t="s">
        <v>121</v>
      </c>
      <c r="H26" s="22">
        <v>46177.733819444446</v>
      </c>
      <c r="I26" s="22">
        <v>46177.733819444446</v>
      </c>
    </row>
    <row r="27" ht="22.5" customHeight="1">
      <c r="A27" s="18">
        <v>26.0</v>
      </c>
      <c r="B27" s="19" t="s">
        <v>21</v>
      </c>
      <c r="C27" s="18">
        <v>26.0</v>
      </c>
      <c r="D27" s="20" t="s">
        <v>122</v>
      </c>
      <c r="E27" s="21" t="s">
        <v>123</v>
      </c>
      <c r="F27" s="21" t="s">
        <v>124</v>
      </c>
      <c r="G27" s="21" t="s">
        <v>125</v>
      </c>
      <c r="H27" s="22">
        <v>46177.733819444446</v>
      </c>
      <c r="I27" s="22">
        <v>46177.733819444446</v>
      </c>
    </row>
    <row r="28" ht="22.5" customHeight="1">
      <c r="A28" s="18">
        <v>27.0</v>
      </c>
      <c r="B28" s="19" t="s">
        <v>21</v>
      </c>
      <c r="C28" s="18">
        <v>27.0</v>
      </c>
      <c r="D28" s="20" t="s">
        <v>126</v>
      </c>
      <c r="E28" s="21" t="s">
        <v>127</v>
      </c>
      <c r="F28" s="21" t="s">
        <v>128</v>
      </c>
      <c r="G28" s="21" t="s">
        <v>129</v>
      </c>
      <c r="H28" s="22">
        <v>46177.733819444446</v>
      </c>
      <c r="I28" s="22">
        <v>46177.733819444446</v>
      </c>
    </row>
    <row r="29" ht="22.5" customHeight="1">
      <c r="A29" s="18">
        <v>28.0</v>
      </c>
      <c r="B29" s="19" t="s">
        <v>21</v>
      </c>
      <c r="C29" s="18">
        <v>28.0</v>
      </c>
      <c r="D29" s="20" t="s">
        <v>130</v>
      </c>
      <c r="E29" s="21" t="s">
        <v>131</v>
      </c>
      <c r="F29" s="21" t="s">
        <v>132</v>
      </c>
      <c r="G29" s="21" t="s">
        <v>133</v>
      </c>
      <c r="H29" s="22">
        <v>46177.733831018515</v>
      </c>
      <c r="I29" s="22">
        <v>46177.733831018515</v>
      </c>
    </row>
    <row r="30" ht="22.5" customHeight="1">
      <c r="A30" s="18">
        <v>29.0</v>
      </c>
      <c r="B30" s="19" t="s">
        <v>21</v>
      </c>
      <c r="C30" s="18">
        <v>29.0</v>
      </c>
      <c r="D30" s="20" t="s">
        <v>134</v>
      </c>
      <c r="E30" s="21" t="s">
        <v>135</v>
      </c>
      <c r="F30" s="21" t="s">
        <v>136</v>
      </c>
      <c r="G30" s="21" t="s">
        <v>137</v>
      </c>
      <c r="H30" s="22">
        <v>46177.733831018515</v>
      </c>
      <c r="I30" s="22">
        <v>46177.733831018515</v>
      </c>
    </row>
    <row r="31" ht="22.5" customHeight="1">
      <c r="A31" s="18">
        <v>30.0</v>
      </c>
      <c r="B31" s="19" t="s">
        <v>21</v>
      </c>
      <c r="C31" s="18">
        <v>30.0</v>
      </c>
      <c r="D31" s="20" t="s">
        <v>138</v>
      </c>
      <c r="E31" s="21" t="s">
        <v>139</v>
      </c>
      <c r="F31" s="21" t="s">
        <v>140</v>
      </c>
      <c r="G31" s="21" t="s">
        <v>141</v>
      </c>
      <c r="H31" s="22">
        <v>46177.733831018515</v>
      </c>
      <c r="I31" s="22">
        <v>46177.733831018515</v>
      </c>
    </row>
    <row r="32" ht="22.5" customHeight="1">
      <c r="A32" s="18">
        <v>31.0</v>
      </c>
      <c r="B32" s="19" t="s">
        <v>21</v>
      </c>
      <c r="C32" s="18">
        <v>31.0</v>
      </c>
      <c r="D32" s="20" t="s">
        <v>142</v>
      </c>
      <c r="E32" s="21" t="s">
        <v>143</v>
      </c>
      <c r="F32" s="20" t="s">
        <v>144</v>
      </c>
      <c r="G32" s="21" t="s">
        <v>145</v>
      </c>
      <c r="H32" s="22">
        <v>46177.73384259259</v>
      </c>
      <c r="I32" s="22">
        <v>46177.73384259259</v>
      </c>
    </row>
    <row r="33" ht="22.5" customHeight="1">
      <c r="A33" s="18">
        <v>32.0</v>
      </c>
      <c r="B33" s="19" t="s">
        <v>21</v>
      </c>
      <c r="C33" s="18">
        <v>32.0</v>
      </c>
      <c r="D33" s="20" t="s">
        <v>146</v>
      </c>
      <c r="E33" s="21" t="s">
        <v>147</v>
      </c>
      <c r="F33" s="21" t="s">
        <v>148</v>
      </c>
      <c r="G33" s="21" t="s">
        <v>149</v>
      </c>
      <c r="H33" s="22">
        <v>46177.73384259259</v>
      </c>
      <c r="I33" s="22">
        <v>46177.73384259259</v>
      </c>
    </row>
    <row r="34" ht="22.5" customHeight="1">
      <c r="A34" s="18">
        <v>33.0</v>
      </c>
      <c r="B34" s="19" t="s">
        <v>21</v>
      </c>
      <c r="C34" s="18">
        <v>33.0</v>
      </c>
      <c r="D34" s="20" t="s">
        <v>150</v>
      </c>
      <c r="E34" s="21" t="s">
        <v>151</v>
      </c>
      <c r="F34" s="21" t="s">
        <v>152</v>
      </c>
      <c r="G34" s="21" t="s">
        <v>153</v>
      </c>
      <c r="H34" s="22">
        <v>46177.73385416667</v>
      </c>
      <c r="I34" s="22">
        <v>46177.73385416667</v>
      </c>
    </row>
    <row r="35" ht="22.5" customHeight="1">
      <c r="A35" s="18">
        <v>34.0</v>
      </c>
      <c r="B35" s="19" t="s">
        <v>21</v>
      </c>
      <c r="C35" s="18">
        <v>34.0</v>
      </c>
      <c r="D35" s="20" t="s">
        <v>154</v>
      </c>
      <c r="E35" s="21" t="s">
        <v>155</v>
      </c>
      <c r="F35" s="21" t="s">
        <v>156</v>
      </c>
      <c r="G35" s="21" t="s">
        <v>157</v>
      </c>
      <c r="H35" s="22">
        <v>46177.73385416667</v>
      </c>
      <c r="I35" s="22">
        <v>46177.73385416667</v>
      </c>
    </row>
    <row r="36" ht="22.5" customHeight="1">
      <c r="A36" s="18">
        <v>35.0</v>
      </c>
      <c r="B36" s="19" t="s">
        <v>21</v>
      </c>
      <c r="C36" s="18">
        <v>35.0</v>
      </c>
      <c r="D36" s="20" t="s">
        <v>158</v>
      </c>
      <c r="E36" s="21" t="s">
        <v>159</v>
      </c>
      <c r="F36" s="21" t="s">
        <v>160</v>
      </c>
      <c r="G36" s="21" t="s">
        <v>161</v>
      </c>
      <c r="H36" s="22">
        <v>46177.73385416667</v>
      </c>
      <c r="I36" s="22">
        <v>46177.73385416667</v>
      </c>
    </row>
    <row r="37" ht="22.5" customHeight="1">
      <c r="A37" s="18">
        <v>36.0</v>
      </c>
      <c r="B37" s="19" t="s">
        <v>21</v>
      </c>
      <c r="C37" s="18">
        <v>36.0</v>
      </c>
      <c r="D37" s="20" t="s">
        <v>162</v>
      </c>
      <c r="E37" s="21" t="s">
        <v>163</v>
      </c>
      <c r="F37" s="21" t="s">
        <v>164</v>
      </c>
      <c r="G37" s="21" t="s">
        <v>165</v>
      </c>
      <c r="H37" s="22">
        <v>46177.73386574074</v>
      </c>
      <c r="I37" s="22">
        <v>46177.73386574074</v>
      </c>
    </row>
    <row r="38" ht="22.5" customHeight="1">
      <c r="A38" s="18">
        <v>37.0</v>
      </c>
      <c r="B38" s="19" t="s">
        <v>21</v>
      </c>
      <c r="C38" s="18">
        <v>37.0</v>
      </c>
      <c r="D38" s="20" t="s">
        <v>166</v>
      </c>
      <c r="E38" s="21" t="s">
        <v>167</v>
      </c>
      <c r="F38" s="21" t="s">
        <v>168</v>
      </c>
      <c r="G38" s="21" t="s">
        <v>169</v>
      </c>
      <c r="H38" s="22">
        <v>46177.73386574074</v>
      </c>
      <c r="I38" s="22">
        <v>46177.73386574074</v>
      </c>
    </row>
    <row r="39" ht="22.5" customHeight="1">
      <c r="A39" s="18">
        <v>38.0</v>
      </c>
      <c r="B39" s="19" t="s">
        <v>21</v>
      </c>
      <c r="C39" s="18">
        <v>38.0</v>
      </c>
      <c r="D39" s="20" t="s">
        <v>170</v>
      </c>
      <c r="E39" s="21" t="s">
        <v>171</v>
      </c>
      <c r="F39" s="21" t="s">
        <v>172</v>
      </c>
      <c r="G39" s="21" t="s">
        <v>173</v>
      </c>
      <c r="H39" s="22">
        <v>46177.73386574074</v>
      </c>
      <c r="I39" s="22">
        <v>46177.73386574074</v>
      </c>
    </row>
    <row r="40" ht="22.5" customHeight="1">
      <c r="A40" s="18">
        <v>39.0</v>
      </c>
      <c r="B40" s="19" t="s">
        <v>21</v>
      </c>
      <c r="C40" s="18">
        <v>39.0</v>
      </c>
      <c r="D40" s="20" t="s">
        <v>174</v>
      </c>
      <c r="E40" s="21" t="s">
        <v>175</v>
      </c>
      <c r="F40" s="21" t="s">
        <v>176</v>
      </c>
      <c r="G40" s="21" t="s">
        <v>177</v>
      </c>
      <c r="H40" s="22">
        <v>46177.733877314815</v>
      </c>
      <c r="I40" s="22">
        <v>46177.733877314815</v>
      </c>
    </row>
    <row r="41" ht="22.5" customHeight="1">
      <c r="A41" s="18">
        <v>40.0</v>
      </c>
      <c r="B41" s="19" t="s">
        <v>21</v>
      </c>
      <c r="C41" s="18">
        <v>40.0</v>
      </c>
      <c r="D41" s="20" t="s">
        <v>178</v>
      </c>
      <c r="E41" s="21" t="s">
        <v>179</v>
      </c>
      <c r="F41" s="21" t="s">
        <v>180</v>
      </c>
      <c r="G41" s="21" t="s">
        <v>181</v>
      </c>
      <c r="H41" s="22">
        <v>46177.733877314815</v>
      </c>
      <c r="I41" s="22">
        <v>46177.733877314815</v>
      </c>
    </row>
    <row r="42" ht="22.5" customHeight="1">
      <c r="A42" s="18">
        <v>41.0</v>
      </c>
      <c r="B42" s="19" t="s">
        <v>21</v>
      </c>
      <c r="C42" s="18">
        <v>41.0</v>
      </c>
      <c r="D42" s="20" t="s">
        <v>182</v>
      </c>
      <c r="E42" s="21" t="s">
        <v>183</v>
      </c>
      <c r="F42" s="21" t="s">
        <v>184</v>
      </c>
      <c r="G42" s="21" t="s">
        <v>185</v>
      </c>
      <c r="H42" s="22">
        <v>46177.73388888889</v>
      </c>
      <c r="I42" s="22">
        <v>46177.73388888889</v>
      </c>
    </row>
    <row r="43" ht="22.5" customHeight="1">
      <c r="A43" s="18">
        <v>42.0</v>
      </c>
      <c r="B43" s="19" t="s">
        <v>21</v>
      </c>
      <c r="C43" s="18">
        <v>42.0</v>
      </c>
      <c r="D43" s="20" t="s">
        <v>186</v>
      </c>
      <c r="E43" s="21" t="s">
        <v>187</v>
      </c>
      <c r="F43" s="21" t="s">
        <v>188</v>
      </c>
      <c r="G43" s="21" t="s">
        <v>189</v>
      </c>
      <c r="H43" s="22">
        <v>46177.73388888889</v>
      </c>
      <c r="I43" s="22">
        <v>46177.73388888889</v>
      </c>
    </row>
    <row r="44" ht="22.5" customHeight="1">
      <c r="A44" s="18">
        <v>43.0</v>
      </c>
      <c r="B44" s="19" t="s">
        <v>21</v>
      </c>
      <c r="C44" s="18">
        <v>43.0</v>
      </c>
      <c r="D44" s="20" t="s">
        <v>190</v>
      </c>
      <c r="E44" s="21" t="s">
        <v>191</v>
      </c>
      <c r="F44" s="21" t="s">
        <v>192</v>
      </c>
      <c r="G44" s="21" t="s">
        <v>193</v>
      </c>
      <c r="H44" s="22">
        <v>46177.73388888889</v>
      </c>
      <c r="I44" s="22">
        <v>46177.73388888889</v>
      </c>
    </row>
    <row r="45" ht="22.5" customHeight="1">
      <c r="A45" s="18">
        <v>44.0</v>
      </c>
      <c r="B45" s="19" t="s">
        <v>21</v>
      </c>
      <c r="C45" s="18">
        <v>44.0</v>
      </c>
      <c r="D45" s="20" t="s">
        <v>194</v>
      </c>
      <c r="E45" s="21" t="s">
        <v>195</v>
      </c>
      <c r="F45" s="21" t="s">
        <v>196</v>
      </c>
      <c r="G45" s="21" t="s">
        <v>197</v>
      </c>
      <c r="H45" s="22">
        <v>46177.73390046296</v>
      </c>
      <c r="I45" s="22">
        <v>46177.73390046296</v>
      </c>
    </row>
    <row r="46" ht="22.5" customHeight="1">
      <c r="A46" s="18">
        <v>45.0</v>
      </c>
      <c r="B46" s="19" t="s">
        <v>21</v>
      </c>
      <c r="C46" s="18">
        <v>45.0</v>
      </c>
      <c r="D46" s="20" t="s">
        <v>198</v>
      </c>
      <c r="E46" s="21" t="s">
        <v>199</v>
      </c>
      <c r="F46" s="21" t="s">
        <v>200</v>
      </c>
      <c r="G46" s="21" t="s">
        <v>201</v>
      </c>
      <c r="H46" s="22">
        <v>46177.73390046296</v>
      </c>
      <c r="I46" s="22">
        <v>46177.73390046296</v>
      </c>
    </row>
    <row r="47" ht="22.5" customHeight="1">
      <c r="A47" s="18">
        <v>46.0</v>
      </c>
      <c r="B47" s="19" t="s">
        <v>21</v>
      </c>
      <c r="C47" s="18">
        <v>46.0</v>
      </c>
      <c r="D47" s="20" t="s">
        <v>202</v>
      </c>
      <c r="E47" s="21" t="s">
        <v>203</v>
      </c>
      <c r="F47" s="21" t="s">
        <v>204</v>
      </c>
      <c r="G47" s="21" t="s">
        <v>205</v>
      </c>
      <c r="H47" s="22">
        <v>46177.73390046296</v>
      </c>
      <c r="I47" s="22">
        <v>46177.73390046296</v>
      </c>
    </row>
    <row r="48" ht="22.5" customHeight="1">
      <c r="A48" s="18">
        <v>47.0</v>
      </c>
      <c r="B48" s="19" t="s">
        <v>21</v>
      </c>
      <c r="C48" s="18">
        <v>47.0</v>
      </c>
      <c r="D48" s="20" t="s">
        <v>206</v>
      </c>
      <c r="E48" s="21" t="s">
        <v>207</v>
      </c>
      <c r="F48" s="21" t="s">
        <v>208</v>
      </c>
      <c r="G48" s="21" t="s">
        <v>209</v>
      </c>
      <c r="H48" s="22">
        <v>46177.73391203704</v>
      </c>
      <c r="I48" s="22">
        <v>46177.73391203704</v>
      </c>
    </row>
    <row r="49" ht="22.5" customHeight="1">
      <c r="A49" s="18">
        <v>48.0</v>
      </c>
      <c r="B49" s="19" t="s">
        <v>21</v>
      </c>
      <c r="C49" s="18">
        <v>48.0</v>
      </c>
      <c r="D49" s="20" t="s">
        <v>210</v>
      </c>
      <c r="E49" s="21" t="s">
        <v>211</v>
      </c>
      <c r="F49" s="21" t="s">
        <v>212</v>
      </c>
      <c r="G49" s="21" t="s">
        <v>213</v>
      </c>
      <c r="H49" s="22">
        <v>46177.73391203704</v>
      </c>
      <c r="I49" s="22">
        <v>46177.73391203704</v>
      </c>
    </row>
    <row r="50" ht="22.5" customHeight="1">
      <c r="A50" s="18">
        <v>49.0</v>
      </c>
      <c r="B50" s="19" t="s">
        <v>21</v>
      </c>
      <c r="C50" s="18">
        <v>49.0</v>
      </c>
      <c r="D50" s="20" t="s">
        <v>214</v>
      </c>
      <c r="E50" s="21" t="s">
        <v>215</v>
      </c>
      <c r="F50" s="21" t="s">
        <v>216</v>
      </c>
      <c r="G50" s="21" t="s">
        <v>217</v>
      </c>
      <c r="H50" s="22">
        <v>46177.733923611115</v>
      </c>
      <c r="I50" s="22">
        <v>46177.733923611115</v>
      </c>
    </row>
    <row r="51" ht="22.5" customHeight="1">
      <c r="A51" s="18">
        <v>50.0</v>
      </c>
      <c r="B51" s="19" t="s">
        <v>21</v>
      </c>
      <c r="C51" s="18">
        <v>50.0</v>
      </c>
      <c r="D51" s="20" t="s">
        <v>218</v>
      </c>
      <c r="E51" s="21" t="s">
        <v>219</v>
      </c>
      <c r="F51" s="21" t="s">
        <v>220</v>
      </c>
      <c r="G51" s="21" t="s">
        <v>221</v>
      </c>
      <c r="H51" s="22">
        <v>46177.733923611115</v>
      </c>
      <c r="I51" s="22">
        <v>46177.733923611115</v>
      </c>
    </row>
    <row r="52" ht="22.5" customHeight="1">
      <c r="A52" s="18">
        <v>51.0</v>
      </c>
      <c r="B52" s="19" t="s">
        <v>21</v>
      </c>
      <c r="C52" s="18">
        <v>51.0</v>
      </c>
      <c r="D52" s="20" t="s">
        <v>222</v>
      </c>
      <c r="E52" s="21" t="s">
        <v>223</v>
      </c>
      <c r="F52" s="21" t="s">
        <v>224</v>
      </c>
      <c r="G52" s="21" t="s">
        <v>225</v>
      </c>
      <c r="H52" s="22">
        <v>46177.733923611115</v>
      </c>
      <c r="I52" s="22">
        <v>46177.733923611115</v>
      </c>
    </row>
    <row r="53" ht="22.5" customHeight="1">
      <c r="A53" s="18">
        <v>52.0</v>
      </c>
      <c r="B53" s="19" t="s">
        <v>21</v>
      </c>
      <c r="C53" s="18">
        <v>52.0</v>
      </c>
      <c r="D53" s="20" t="s">
        <v>226</v>
      </c>
      <c r="E53" s="21" t="s">
        <v>227</v>
      </c>
      <c r="F53" s="21" t="s">
        <v>228</v>
      </c>
      <c r="G53" s="21" t="s">
        <v>229</v>
      </c>
      <c r="H53" s="22">
        <v>46177.733935185184</v>
      </c>
      <c r="I53" s="22">
        <v>46177.733935185184</v>
      </c>
    </row>
    <row r="54" ht="22.5" customHeight="1">
      <c r="A54" s="18">
        <v>53.0</v>
      </c>
      <c r="B54" s="19" t="s">
        <v>21</v>
      </c>
      <c r="C54" s="18">
        <v>53.0</v>
      </c>
      <c r="D54" s="20" t="s">
        <v>230</v>
      </c>
      <c r="E54" s="21" t="s">
        <v>231</v>
      </c>
      <c r="F54" s="21" t="s">
        <v>232</v>
      </c>
      <c r="G54" s="21" t="s">
        <v>233</v>
      </c>
      <c r="H54" s="22">
        <v>46177.733935185184</v>
      </c>
      <c r="I54" s="22">
        <v>46177.733935185184</v>
      </c>
    </row>
    <row r="55" ht="22.5" customHeight="1">
      <c r="A55" s="18">
        <v>54.0</v>
      </c>
      <c r="B55" s="19" t="s">
        <v>21</v>
      </c>
      <c r="C55" s="18">
        <v>54.0</v>
      </c>
      <c r="D55" s="20" t="s">
        <v>234</v>
      </c>
      <c r="E55" s="21" t="s">
        <v>235</v>
      </c>
      <c r="F55" s="21" t="s">
        <v>236</v>
      </c>
      <c r="G55" s="21" t="s">
        <v>237</v>
      </c>
      <c r="H55" s="22">
        <v>46177.73394675926</v>
      </c>
      <c r="I55" s="22">
        <v>46177.73394675926</v>
      </c>
    </row>
    <row r="56" ht="22.5" customHeight="1">
      <c r="A56" s="18">
        <v>55.0</v>
      </c>
      <c r="B56" s="19" t="s">
        <v>21</v>
      </c>
      <c r="C56" s="18">
        <v>55.0</v>
      </c>
      <c r="D56" s="20" t="s">
        <v>238</v>
      </c>
      <c r="E56" s="21" t="s">
        <v>239</v>
      </c>
      <c r="F56" s="21" t="s">
        <v>240</v>
      </c>
      <c r="G56" s="21" t="s">
        <v>241</v>
      </c>
      <c r="H56" s="22">
        <v>46177.73394675926</v>
      </c>
      <c r="I56" s="22">
        <v>46177.73394675926</v>
      </c>
    </row>
    <row r="57" ht="22.5" customHeight="1">
      <c r="A57" s="18">
        <v>56.0</v>
      </c>
      <c r="B57" s="19" t="s">
        <v>21</v>
      </c>
      <c r="C57" s="18">
        <v>56.0</v>
      </c>
      <c r="D57" s="20" t="s">
        <v>242</v>
      </c>
      <c r="E57" s="21" t="s">
        <v>243</v>
      </c>
      <c r="F57" s="21" t="s">
        <v>244</v>
      </c>
      <c r="G57" s="21" t="s">
        <v>245</v>
      </c>
      <c r="H57" s="22">
        <v>46177.73394675926</v>
      </c>
      <c r="I57" s="22">
        <v>46177.73394675926</v>
      </c>
    </row>
    <row r="58" ht="22.5" customHeight="1">
      <c r="A58" s="18">
        <v>57.0</v>
      </c>
      <c r="B58" s="19" t="s">
        <v>21</v>
      </c>
      <c r="C58" s="18">
        <v>57.0</v>
      </c>
      <c r="D58" s="20" t="s">
        <v>246</v>
      </c>
      <c r="E58" s="21" t="s">
        <v>247</v>
      </c>
      <c r="F58" s="21" t="s">
        <v>248</v>
      </c>
      <c r="G58" s="21" t="s">
        <v>249</v>
      </c>
      <c r="H58" s="22">
        <v>46177.73395833333</v>
      </c>
      <c r="I58" s="22">
        <v>46177.73395833333</v>
      </c>
    </row>
    <row r="59" ht="22.5" customHeight="1">
      <c r="A59" s="18">
        <v>58.0</v>
      </c>
      <c r="B59" s="19" t="s">
        <v>21</v>
      </c>
      <c r="C59" s="18">
        <v>58.0</v>
      </c>
      <c r="D59" s="20" t="s">
        <v>250</v>
      </c>
      <c r="E59" s="21" t="s">
        <v>251</v>
      </c>
      <c r="F59" s="21" t="s">
        <v>252</v>
      </c>
      <c r="G59" s="21" t="s">
        <v>253</v>
      </c>
      <c r="H59" s="22">
        <v>46177.73396990741</v>
      </c>
      <c r="I59" s="22">
        <v>46177.73396990741</v>
      </c>
    </row>
    <row r="60" ht="22.5" customHeight="1">
      <c r="A60" s="18">
        <v>59.0</v>
      </c>
      <c r="B60" s="19" t="s">
        <v>21</v>
      </c>
      <c r="C60" s="18">
        <v>59.0</v>
      </c>
      <c r="D60" s="20" t="s">
        <v>254</v>
      </c>
      <c r="E60" s="21" t="s">
        <v>255</v>
      </c>
      <c r="F60" s="21" t="s">
        <v>256</v>
      </c>
      <c r="G60" s="21" t="s">
        <v>257</v>
      </c>
      <c r="H60" s="22">
        <v>46177.73396990741</v>
      </c>
      <c r="I60" s="22">
        <v>46177.73396990741</v>
      </c>
    </row>
    <row r="61" ht="22.5" customHeight="1">
      <c r="A61" s="18">
        <v>60.0</v>
      </c>
      <c r="B61" s="19" t="s">
        <v>21</v>
      </c>
      <c r="C61" s="18">
        <v>60.0</v>
      </c>
      <c r="D61" s="20" t="s">
        <v>258</v>
      </c>
      <c r="E61" s="21" t="s">
        <v>259</v>
      </c>
      <c r="F61" s="21" t="s">
        <v>260</v>
      </c>
      <c r="G61" s="21" t="s">
        <v>261</v>
      </c>
      <c r="H61" s="22">
        <v>46177.73396990741</v>
      </c>
      <c r="I61" s="22">
        <v>46177.73396990741</v>
      </c>
    </row>
    <row r="62" ht="22.5" customHeight="1">
      <c r="A62" s="18">
        <v>61.0</v>
      </c>
      <c r="B62" s="19" t="s">
        <v>21</v>
      </c>
      <c r="C62" s="18">
        <v>61.0</v>
      </c>
      <c r="D62" s="20" t="s">
        <v>262</v>
      </c>
      <c r="E62" s="21" t="s">
        <v>263</v>
      </c>
      <c r="F62" s="21" t="s">
        <v>264</v>
      </c>
      <c r="G62" s="21" t="s">
        <v>265</v>
      </c>
      <c r="H62" s="22">
        <v>46177.733981481484</v>
      </c>
      <c r="I62" s="22">
        <v>46177.733981481484</v>
      </c>
    </row>
    <row r="63" ht="22.5" customHeight="1">
      <c r="A63" s="18">
        <v>62.0</v>
      </c>
      <c r="B63" s="19" t="s">
        <v>21</v>
      </c>
      <c r="C63" s="18">
        <v>62.0</v>
      </c>
      <c r="D63" s="20" t="s">
        <v>266</v>
      </c>
      <c r="E63" s="21" t="s">
        <v>267</v>
      </c>
      <c r="F63" s="21" t="s">
        <v>268</v>
      </c>
      <c r="G63" s="21" t="s">
        <v>269</v>
      </c>
      <c r="H63" s="22">
        <v>46177.733981481484</v>
      </c>
      <c r="I63" s="22">
        <v>46177.733981481484</v>
      </c>
    </row>
    <row r="64" ht="22.5" customHeight="1">
      <c r="A64" s="18">
        <v>63.0</v>
      </c>
      <c r="B64" s="19" t="s">
        <v>21</v>
      </c>
      <c r="C64" s="18">
        <v>63.0</v>
      </c>
      <c r="D64" s="20" t="s">
        <v>270</v>
      </c>
      <c r="E64" s="21" t="s">
        <v>271</v>
      </c>
      <c r="F64" s="21" t="s">
        <v>272</v>
      </c>
      <c r="G64" s="21" t="s">
        <v>273</v>
      </c>
      <c r="H64" s="22">
        <v>46177.73399305555</v>
      </c>
      <c r="I64" s="22">
        <v>46177.73399305555</v>
      </c>
    </row>
    <row r="65" ht="22.5" customHeight="1">
      <c r="A65" s="18">
        <v>64.0</v>
      </c>
      <c r="B65" s="19" t="s">
        <v>21</v>
      </c>
      <c r="C65" s="18">
        <v>64.0</v>
      </c>
      <c r="D65" s="20" t="s">
        <v>274</v>
      </c>
      <c r="E65" s="21" t="s">
        <v>275</v>
      </c>
      <c r="F65" s="21" t="s">
        <v>276</v>
      </c>
      <c r="G65" s="21" t="s">
        <v>277</v>
      </c>
      <c r="H65" s="22">
        <v>46177.73399305555</v>
      </c>
      <c r="I65" s="22">
        <v>46177.73399305555</v>
      </c>
    </row>
    <row r="66" ht="22.5" customHeight="1">
      <c r="A66" s="18">
        <v>65.0</v>
      </c>
      <c r="B66" s="19" t="s">
        <v>21</v>
      </c>
      <c r="C66" s="18">
        <v>65.0</v>
      </c>
      <c r="D66" s="20" t="s">
        <v>278</v>
      </c>
      <c r="E66" s="21" t="s">
        <v>279</v>
      </c>
      <c r="F66" s="21" t="s">
        <v>280</v>
      </c>
      <c r="G66" s="21" t="s">
        <v>281</v>
      </c>
      <c r="H66" s="22">
        <v>46177.73399305555</v>
      </c>
      <c r="I66" s="22">
        <v>46177.73399305555</v>
      </c>
    </row>
    <row r="67" ht="22.5" customHeight="1">
      <c r="A67" s="18">
        <v>66.0</v>
      </c>
      <c r="B67" s="19" t="s">
        <v>21</v>
      </c>
      <c r="C67" s="18">
        <v>66.0</v>
      </c>
      <c r="D67" s="20" t="s">
        <v>282</v>
      </c>
      <c r="E67" s="21" t="s">
        <v>283</v>
      </c>
      <c r="F67" s="21" t="s">
        <v>284</v>
      </c>
      <c r="G67" s="21" t="s">
        <v>285</v>
      </c>
      <c r="H67" s="22">
        <v>46177.73400462963</v>
      </c>
      <c r="I67" s="22">
        <v>46177.73400462963</v>
      </c>
    </row>
    <row r="68" ht="22.5" customHeight="1">
      <c r="A68" s="18">
        <v>67.0</v>
      </c>
      <c r="B68" s="19" t="s">
        <v>21</v>
      </c>
      <c r="C68" s="18">
        <v>67.0</v>
      </c>
      <c r="D68" s="20" t="s">
        <v>286</v>
      </c>
      <c r="E68" s="21" t="s">
        <v>287</v>
      </c>
      <c r="F68" s="21" t="s">
        <v>288</v>
      </c>
      <c r="G68" s="21" t="s">
        <v>289</v>
      </c>
      <c r="H68" s="22">
        <v>46177.73400462963</v>
      </c>
      <c r="I68" s="22">
        <v>46177.73400462963</v>
      </c>
    </row>
    <row r="69" ht="22.5" customHeight="1">
      <c r="A69" s="18">
        <v>68.0</v>
      </c>
      <c r="B69" s="19" t="s">
        <v>21</v>
      </c>
      <c r="C69" s="18">
        <v>68.0</v>
      </c>
      <c r="D69" s="20" t="s">
        <v>290</v>
      </c>
      <c r="E69" s="21" t="s">
        <v>291</v>
      </c>
      <c r="F69" s="21" t="s">
        <v>292</v>
      </c>
      <c r="G69" s="21" t="s">
        <v>293</v>
      </c>
      <c r="H69" s="22">
        <v>46177.73401620371</v>
      </c>
      <c r="I69" s="22">
        <v>46177.73401620371</v>
      </c>
    </row>
    <row r="70" ht="22.5" customHeight="1">
      <c r="A70" s="18">
        <v>69.0</v>
      </c>
      <c r="B70" s="19" t="s">
        <v>21</v>
      </c>
      <c r="C70" s="18">
        <v>69.0</v>
      </c>
      <c r="D70" s="20" t="s">
        <v>294</v>
      </c>
      <c r="E70" s="21" t="s">
        <v>295</v>
      </c>
      <c r="F70" s="21" t="s">
        <v>296</v>
      </c>
      <c r="G70" s="21" t="s">
        <v>297</v>
      </c>
      <c r="H70" s="22">
        <v>46177.73401620371</v>
      </c>
      <c r="I70" s="22">
        <v>46177.73401620371</v>
      </c>
    </row>
    <row r="71" ht="22.5" customHeight="1">
      <c r="A71" s="18">
        <v>70.0</v>
      </c>
      <c r="B71" s="19" t="s">
        <v>21</v>
      </c>
      <c r="C71" s="18">
        <v>70.0</v>
      </c>
      <c r="D71" s="20" t="s">
        <v>298</v>
      </c>
      <c r="E71" s="21" t="s">
        <v>299</v>
      </c>
      <c r="F71" s="21" t="s">
        <v>300</v>
      </c>
      <c r="G71" s="21" t="s">
        <v>301</v>
      </c>
      <c r="H71" s="22">
        <v>46177.73401620371</v>
      </c>
      <c r="I71" s="22">
        <v>46177.73401620371</v>
      </c>
    </row>
    <row r="72" ht="22.5" customHeight="1">
      <c r="A72" s="18">
        <v>71.0</v>
      </c>
      <c r="B72" s="19" t="s">
        <v>21</v>
      </c>
      <c r="C72" s="18">
        <v>71.0</v>
      </c>
      <c r="D72" s="20" t="s">
        <v>302</v>
      </c>
      <c r="E72" s="21" t="s">
        <v>303</v>
      </c>
      <c r="F72" s="21" t="s">
        <v>304</v>
      </c>
      <c r="G72" s="21" t="s">
        <v>305</v>
      </c>
      <c r="H72" s="22">
        <v>46177.73402777778</v>
      </c>
      <c r="I72" s="22">
        <v>46177.73402777778</v>
      </c>
    </row>
    <row r="73" ht="22.5" customHeight="1">
      <c r="A73" s="18">
        <v>72.0</v>
      </c>
      <c r="B73" s="19" t="s">
        <v>21</v>
      </c>
      <c r="C73" s="18">
        <v>72.0</v>
      </c>
      <c r="D73" s="20" t="s">
        <v>306</v>
      </c>
      <c r="E73" s="21" t="s">
        <v>307</v>
      </c>
      <c r="F73" s="21" t="s">
        <v>308</v>
      </c>
      <c r="G73" s="21" t="s">
        <v>309</v>
      </c>
      <c r="H73" s="22">
        <v>46177.73402777778</v>
      </c>
      <c r="I73" s="22">
        <v>46177.73402777778</v>
      </c>
    </row>
    <row r="74" ht="22.5" customHeight="1">
      <c r="A74" s="18">
        <v>73.0</v>
      </c>
      <c r="B74" s="19" t="s">
        <v>21</v>
      </c>
      <c r="C74" s="18">
        <v>73.0</v>
      </c>
      <c r="D74" s="20" t="s">
        <v>310</v>
      </c>
      <c r="E74" s="20" t="s">
        <v>311</v>
      </c>
      <c r="F74" s="21" t="s">
        <v>312</v>
      </c>
      <c r="G74" s="21" t="s">
        <v>313</v>
      </c>
      <c r="H74" s="22">
        <v>46177.73403935185</v>
      </c>
      <c r="I74" s="22">
        <v>46177.73403935185</v>
      </c>
    </row>
    <row r="75" ht="22.5" customHeight="1">
      <c r="A75" s="18">
        <v>74.0</v>
      </c>
      <c r="B75" s="19" t="s">
        <v>21</v>
      </c>
      <c r="C75" s="18">
        <v>74.0</v>
      </c>
      <c r="D75" s="20" t="s">
        <v>314</v>
      </c>
      <c r="E75" s="21" t="s">
        <v>315</v>
      </c>
      <c r="F75" s="21" t="s">
        <v>316</v>
      </c>
      <c r="G75" s="21" t="s">
        <v>317</v>
      </c>
      <c r="H75" s="22">
        <v>46177.73403935185</v>
      </c>
      <c r="I75" s="22">
        <v>46177.73403935185</v>
      </c>
    </row>
    <row r="76" ht="22.5" customHeight="1">
      <c r="A76" s="18">
        <v>75.0</v>
      </c>
      <c r="B76" s="19" t="s">
        <v>21</v>
      </c>
      <c r="C76" s="18">
        <v>75.0</v>
      </c>
      <c r="D76" s="20" t="s">
        <v>318</v>
      </c>
      <c r="E76" s="21" t="s">
        <v>319</v>
      </c>
      <c r="F76" s="21" t="s">
        <v>320</v>
      </c>
      <c r="G76" s="21" t="s">
        <v>321</v>
      </c>
      <c r="H76" s="22">
        <v>46177.73403935185</v>
      </c>
      <c r="I76" s="22">
        <v>46177.73403935185</v>
      </c>
    </row>
    <row r="77" ht="22.5" customHeight="1">
      <c r="A77" s="18">
        <v>76.0</v>
      </c>
      <c r="B77" s="19" t="s">
        <v>21</v>
      </c>
      <c r="C77" s="18">
        <v>76.0</v>
      </c>
      <c r="D77" s="20" t="s">
        <v>322</v>
      </c>
      <c r="E77" s="21" t="s">
        <v>323</v>
      </c>
      <c r="F77" s="21" t="s">
        <v>324</v>
      </c>
      <c r="G77" s="21" t="s">
        <v>325</v>
      </c>
      <c r="H77" s="22">
        <v>46177.73405092592</v>
      </c>
      <c r="I77" s="22">
        <v>46177.73405092592</v>
      </c>
    </row>
    <row r="78" ht="22.5" customHeight="1">
      <c r="A78" s="18">
        <v>77.0</v>
      </c>
      <c r="B78" s="19" t="s">
        <v>21</v>
      </c>
      <c r="C78" s="18">
        <v>77.0</v>
      </c>
      <c r="D78" s="20" t="s">
        <v>326</v>
      </c>
      <c r="E78" s="21" t="s">
        <v>327</v>
      </c>
      <c r="F78" s="21" t="s">
        <v>328</v>
      </c>
      <c r="G78" s="21" t="s">
        <v>329</v>
      </c>
      <c r="H78" s="22">
        <v>46177.73405092592</v>
      </c>
      <c r="I78" s="22">
        <v>46177.73405092592</v>
      </c>
    </row>
    <row r="79" ht="22.5" customHeight="1">
      <c r="A79" s="18">
        <v>78.0</v>
      </c>
      <c r="B79" s="19" t="s">
        <v>21</v>
      </c>
      <c r="C79" s="18">
        <v>78.0</v>
      </c>
      <c r="D79" s="20" t="s">
        <v>330</v>
      </c>
      <c r="E79" s="21" t="s">
        <v>331</v>
      </c>
      <c r="F79" s="21" t="s">
        <v>332</v>
      </c>
      <c r="G79" s="21" t="s">
        <v>333</v>
      </c>
      <c r="H79" s="22">
        <v>46177.7340625</v>
      </c>
      <c r="I79" s="22">
        <v>46177.7340625</v>
      </c>
    </row>
    <row r="80" ht="22.5" customHeight="1">
      <c r="A80" s="18">
        <v>79.0</v>
      </c>
      <c r="B80" s="19" t="s">
        <v>21</v>
      </c>
      <c r="C80" s="18">
        <v>79.0</v>
      </c>
      <c r="D80" s="20" t="s">
        <v>334</v>
      </c>
      <c r="E80" s="21" t="s">
        <v>335</v>
      </c>
      <c r="F80" s="21" t="s">
        <v>336</v>
      </c>
      <c r="G80" s="21" t="s">
        <v>337</v>
      </c>
      <c r="H80" s="22">
        <v>46177.7340625</v>
      </c>
      <c r="I80" s="22">
        <v>46177.7340625</v>
      </c>
    </row>
    <row r="81" ht="22.5" customHeight="1">
      <c r="A81" s="18">
        <v>80.0</v>
      </c>
      <c r="B81" s="19" t="s">
        <v>21</v>
      </c>
      <c r="C81" s="18">
        <v>80.0</v>
      </c>
      <c r="D81" s="20" t="s">
        <v>338</v>
      </c>
      <c r="E81" s="21" t="s">
        <v>339</v>
      </c>
      <c r="F81" s="21" t="s">
        <v>340</v>
      </c>
      <c r="G81" s="21" t="s">
        <v>341</v>
      </c>
      <c r="H81" s="22">
        <v>46177.7340625</v>
      </c>
      <c r="I81" s="22">
        <v>46177.7340625</v>
      </c>
    </row>
    <row r="82" ht="22.5" customHeight="1">
      <c r="A82" s="18">
        <v>81.0</v>
      </c>
      <c r="B82" s="19" t="s">
        <v>21</v>
      </c>
      <c r="C82" s="18">
        <v>81.0</v>
      </c>
      <c r="D82" s="20" t="s">
        <v>342</v>
      </c>
      <c r="E82" s="21" t="s">
        <v>343</v>
      </c>
      <c r="F82" s="21" t="s">
        <v>344</v>
      </c>
      <c r="G82" s="21" t="s">
        <v>345</v>
      </c>
      <c r="H82" s="22">
        <v>46177.73407407408</v>
      </c>
      <c r="I82" s="22">
        <v>46177.73407407408</v>
      </c>
    </row>
    <row r="83" ht="22.5" customHeight="1">
      <c r="A83" s="18">
        <v>82.0</v>
      </c>
      <c r="B83" s="19" t="s">
        <v>21</v>
      </c>
      <c r="C83" s="18">
        <v>82.0</v>
      </c>
      <c r="D83" s="20" t="s">
        <v>346</v>
      </c>
      <c r="E83" s="21" t="s">
        <v>347</v>
      </c>
      <c r="F83" s="21" t="s">
        <v>348</v>
      </c>
      <c r="G83" s="21" t="s">
        <v>349</v>
      </c>
      <c r="H83" s="22">
        <v>46177.73407407408</v>
      </c>
      <c r="I83" s="22">
        <v>46177.73407407408</v>
      </c>
    </row>
    <row r="84" ht="22.5" customHeight="1">
      <c r="A84" s="18">
        <v>83.0</v>
      </c>
      <c r="B84" s="19" t="s">
        <v>21</v>
      </c>
      <c r="C84" s="18">
        <v>83.0</v>
      </c>
      <c r="D84" s="20" t="s">
        <v>350</v>
      </c>
      <c r="E84" s="21" t="s">
        <v>351</v>
      </c>
      <c r="F84" s="21" t="s">
        <v>352</v>
      </c>
      <c r="G84" s="21" t="s">
        <v>353</v>
      </c>
      <c r="H84" s="22">
        <v>46177.734085648146</v>
      </c>
      <c r="I84" s="22">
        <v>46177.734085648146</v>
      </c>
    </row>
    <row r="85" ht="22.5" customHeight="1">
      <c r="A85" s="18">
        <v>84.0</v>
      </c>
      <c r="B85" s="19" t="s">
        <v>21</v>
      </c>
      <c r="C85" s="18">
        <v>84.0</v>
      </c>
      <c r="D85" s="20" t="s">
        <v>354</v>
      </c>
      <c r="E85" s="21" t="s">
        <v>355</v>
      </c>
      <c r="F85" s="21" t="s">
        <v>356</v>
      </c>
      <c r="G85" s="21" t="s">
        <v>357</v>
      </c>
      <c r="H85" s="22">
        <v>46177.734085648146</v>
      </c>
      <c r="I85" s="22">
        <v>46177.734085648146</v>
      </c>
    </row>
    <row r="86" ht="22.5" customHeight="1">
      <c r="A86" s="18">
        <v>85.0</v>
      </c>
      <c r="B86" s="19" t="s">
        <v>21</v>
      </c>
      <c r="C86" s="18">
        <v>85.0</v>
      </c>
      <c r="D86" s="20" t="s">
        <v>358</v>
      </c>
      <c r="E86" s="21" t="s">
        <v>359</v>
      </c>
      <c r="F86" s="21" t="s">
        <v>360</v>
      </c>
      <c r="G86" s="21" t="s">
        <v>361</v>
      </c>
      <c r="H86" s="22">
        <v>46177.734085648146</v>
      </c>
      <c r="I86" s="22">
        <v>46177.734085648146</v>
      </c>
    </row>
    <row r="87" ht="22.5" customHeight="1">
      <c r="A87" s="18">
        <v>86.0</v>
      </c>
      <c r="B87" s="19" t="s">
        <v>21</v>
      </c>
      <c r="C87" s="18">
        <v>86.0</v>
      </c>
      <c r="D87" s="20" t="s">
        <v>362</v>
      </c>
      <c r="E87" s="21" t="s">
        <v>363</v>
      </c>
      <c r="F87" s="21" t="s">
        <v>364</v>
      </c>
      <c r="G87" s="21" t="s">
        <v>365</v>
      </c>
      <c r="H87" s="22">
        <v>46177.73409722222</v>
      </c>
      <c r="I87" s="22">
        <v>46177.73409722222</v>
      </c>
    </row>
    <row r="88" ht="22.5" customHeight="1">
      <c r="A88" s="18">
        <v>87.0</v>
      </c>
      <c r="B88" s="19" t="s">
        <v>21</v>
      </c>
      <c r="C88" s="18">
        <v>87.0</v>
      </c>
      <c r="D88" s="20" t="s">
        <v>366</v>
      </c>
      <c r="E88" s="21" t="s">
        <v>367</v>
      </c>
      <c r="F88" s="21" t="s">
        <v>368</v>
      </c>
      <c r="G88" s="21" t="s">
        <v>369</v>
      </c>
      <c r="H88" s="22">
        <v>46177.73409722222</v>
      </c>
      <c r="I88" s="22">
        <v>46177.73409722222</v>
      </c>
    </row>
    <row r="89" ht="22.5" customHeight="1">
      <c r="A89" s="18">
        <v>88.0</v>
      </c>
      <c r="B89" s="19" t="s">
        <v>21</v>
      </c>
      <c r="C89" s="18">
        <v>88.0</v>
      </c>
      <c r="D89" s="20" t="s">
        <v>370</v>
      </c>
      <c r="E89" s="21" t="s">
        <v>371</v>
      </c>
      <c r="F89" s="21" t="s">
        <v>372</v>
      </c>
      <c r="G89" s="21" t="s">
        <v>373</v>
      </c>
      <c r="H89" s="22">
        <v>46177.7341087963</v>
      </c>
      <c r="I89" s="22">
        <v>46177.7341087963</v>
      </c>
    </row>
    <row r="90" ht="22.5" customHeight="1">
      <c r="A90" s="18">
        <v>89.0</v>
      </c>
      <c r="B90" s="19" t="s">
        <v>21</v>
      </c>
      <c r="C90" s="18">
        <v>89.0</v>
      </c>
      <c r="D90" s="20" t="s">
        <v>374</v>
      </c>
      <c r="E90" s="21" t="s">
        <v>375</v>
      </c>
      <c r="F90" s="21" t="s">
        <v>376</v>
      </c>
      <c r="G90" s="21" t="s">
        <v>377</v>
      </c>
      <c r="H90" s="22">
        <v>46177.7341087963</v>
      </c>
      <c r="I90" s="22">
        <v>46177.7341087963</v>
      </c>
    </row>
    <row r="91" ht="22.5" customHeight="1">
      <c r="A91" s="18">
        <v>90.0</v>
      </c>
      <c r="B91" s="19" t="s">
        <v>21</v>
      </c>
      <c r="C91" s="18">
        <v>90.0</v>
      </c>
      <c r="D91" s="20" t="s">
        <v>378</v>
      </c>
      <c r="E91" s="21" t="s">
        <v>379</v>
      </c>
      <c r="F91" s="21" t="s">
        <v>380</v>
      </c>
      <c r="G91" s="21" t="s">
        <v>381</v>
      </c>
      <c r="H91" s="22">
        <v>46177.7341087963</v>
      </c>
      <c r="I91" s="22">
        <v>46177.7341087963</v>
      </c>
    </row>
    <row r="92" ht="22.5" customHeight="1">
      <c r="A92" s="18">
        <v>91.0</v>
      </c>
      <c r="B92" s="19" t="s">
        <v>21</v>
      </c>
      <c r="C92" s="18">
        <v>91.0</v>
      </c>
      <c r="D92" s="20" t="s">
        <v>382</v>
      </c>
      <c r="E92" s="21" t="s">
        <v>383</v>
      </c>
      <c r="F92" s="21" t="s">
        <v>384</v>
      </c>
      <c r="G92" s="21" t="s">
        <v>385</v>
      </c>
      <c r="H92" s="22">
        <v>46177.73412037037</v>
      </c>
      <c r="I92" s="22">
        <v>46177.73412037037</v>
      </c>
    </row>
    <row r="93" ht="22.5" customHeight="1">
      <c r="A93" s="18">
        <v>92.0</v>
      </c>
      <c r="B93" s="19" t="s">
        <v>21</v>
      </c>
      <c r="C93" s="18">
        <v>92.0</v>
      </c>
      <c r="D93" s="20" t="s">
        <v>386</v>
      </c>
      <c r="E93" s="21" t="s">
        <v>387</v>
      </c>
      <c r="F93" s="21" t="s">
        <v>388</v>
      </c>
      <c r="G93" s="21" t="s">
        <v>389</v>
      </c>
      <c r="H93" s="22">
        <v>46177.73412037037</v>
      </c>
      <c r="I93" s="22">
        <v>46177.73412037037</v>
      </c>
    </row>
    <row r="94" ht="22.5" customHeight="1">
      <c r="A94" s="18">
        <v>93.0</v>
      </c>
      <c r="B94" s="19" t="s">
        <v>21</v>
      </c>
      <c r="C94" s="18">
        <v>93.0</v>
      </c>
      <c r="D94" s="20" t="s">
        <v>390</v>
      </c>
      <c r="E94" s="21" t="s">
        <v>391</v>
      </c>
      <c r="F94" s="21" t="s">
        <v>392</v>
      </c>
      <c r="G94" s="21" t="s">
        <v>393</v>
      </c>
      <c r="H94" s="22">
        <v>46177.73412037037</v>
      </c>
      <c r="I94" s="22">
        <v>46177.73412037037</v>
      </c>
    </row>
    <row r="95" ht="22.5" customHeight="1">
      <c r="A95" s="18">
        <v>94.0</v>
      </c>
      <c r="B95" s="19" t="s">
        <v>21</v>
      </c>
      <c r="C95" s="18">
        <v>94.0</v>
      </c>
      <c r="D95" s="20" t="s">
        <v>394</v>
      </c>
      <c r="E95" s="21" t="s">
        <v>395</v>
      </c>
      <c r="F95" s="21" t="s">
        <v>396</v>
      </c>
      <c r="G95" s="21" t="s">
        <v>397</v>
      </c>
      <c r="H95" s="22">
        <v>46177.734131944446</v>
      </c>
      <c r="I95" s="22">
        <v>46177.734131944446</v>
      </c>
    </row>
    <row r="96" ht="22.5" customHeight="1">
      <c r="A96" s="18">
        <v>95.0</v>
      </c>
      <c r="B96" s="19" t="s">
        <v>21</v>
      </c>
      <c r="C96" s="18">
        <v>95.0</v>
      </c>
      <c r="D96" s="20" t="s">
        <v>398</v>
      </c>
      <c r="E96" s="21" t="s">
        <v>399</v>
      </c>
      <c r="F96" s="21" t="s">
        <v>400</v>
      </c>
      <c r="G96" s="21" t="s">
        <v>401</v>
      </c>
      <c r="H96" s="22">
        <v>46177.734131944446</v>
      </c>
      <c r="I96" s="22">
        <v>46177.734131944446</v>
      </c>
    </row>
    <row r="97" ht="22.5" customHeight="1">
      <c r="A97" s="18">
        <v>96.0</v>
      </c>
      <c r="B97" s="19" t="s">
        <v>21</v>
      </c>
      <c r="C97" s="18">
        <v>96.0</v>
      </c>
      <c r="D97" s="20" t="s">
        <v>402</v>
      </c>
      <c r="E97" s="21" t="s">
        <v>403</v>
      </c>
      <c r="F97" s="21" t="s">
        <v>404</v>
      </c>
      <c r="G97" s="21" t="s">
        <v>405</v>
      </c>
      <c r="H97" s="22">
        <v>46177.734131944446</v>
      </c>
      <c r="I97" s="22">
        <v>46177.734131944446</v>
      </c>
    </row>
    <row r="98" ht="22.5" customHeight="1">
      <c r="A98" s="18">
        <v>97.0</v>
      </c>
      <c r="B98" s="19" t="s">
        <v>21</v>
      </c>
      <c r="C98" s="18">
        <v>97.0</v>
      </c>
      <c r="D98" s="20" t="s">
        <v>406</v>
      </c>
      <c r="E98" s="21" t="s">
        <v>407</v>
      </c>
      <c r="F98" s="21" t="s">
        <v>408</v>
      </c>
      <c r="G98" s="21" t="s">
        <v>409</v>
      </c>
      <c r="H98" s="22">
        <v>46177.734143518515</v>
      </c>
      <c r="I98" s="22">
        <v>46177.734143518515</v>
      </c>
    </row>
    <row r="99" ht="22.5" customHeight="1">
      <c r="A99" s="18">
        <v>98.0</v>
      </c>
      <c r="B99" s="19" t="s">
        <v>21</v>
      </c>
      <c r="C99" s="18">
        <v>98.0</v>
      </c>
      <c r="D99" s="20" t="s">
        <v>410</v>
      </c>
      <c r="E99" s="21" t="s">
        <v>411</v>
      </c>
      <c r="F99" s="21" t="s">
        <v>412</v>
      </c>
      <c r="G99" s="21" t="s">
        <v>413</v>
      </c>
      <c r="H99" s="22">
        <v>46177.73415509259</v>
      </c>
      <c r="I99" s="22">
        <v>46177.73415509259</v>
      </c>
    </row>
    <row r="100" ht="22.5" customHeight="1">
      <c r="A100" s="18">
        <v>99.0</v>
      </c>
      <c r="B100" s="19" t="s">
        <v>21</v>
      </c>
      <c r="C100" s="18">
        <v>99.0</v>
      </c>
      <c r="D100" s="20" t="s">
        <v>414</v>
      </c>
      <c r="E100" s="21" t="s">
        <v>415</v>
      </c>
      <c r="F100" s="21" t="s">
        <v>416</v>
      </c>
      <c r="G100" s="21" t="s">
        <v>417</v>
      </c>
      <c r="H100" s="22">
        <v>46177.73415509259</v>
      </c>
      <c r="I100" s="22">
        <v>46177.73415509259</v>
      </c>
    </row>
    <row r="101" ht="22.5" customHeight="1">
      <c r="A101" s="18">
        <v>100.0</v>
      </c>
      <c r="B101" s="19" t="s">
        <v>21</v>
      </c>
      <c r="C101" s="18">
        <v>100.0</v>
      </c>
      <c r="D101" s="20" t="s">
        <v>418</v>
      </c>
      <c r="E101" s="21" t="s">
        <v>419</v>
      </c>
      <c r="F101" s="21" t="s">
        <v>420</v>
      </c>
      <c r="G101" s="21" t="s">
        <v>421</v>
      </c>
      <c r="H101" s="22">
        <v>46177.73416666667</v>
      </c>
      <c r="I101" s="22">
        <v>46177.73416666667</v>
      </c>
    </row>
    <row r="102" ht="22.5" customHeight="1">
      <c r="A102" s="18">
        <v>101.0</v>
      </c>
      <c r="B102" s="19" t="s">
        <v>422</v>
      </c>
      <c r="C102" s="18">
        <v>1.0</v>
      </c>
      <c r="D102" s="20" t="s">
        <v>423</v>
      </c>
      <c r="E102" s="21" t="s">
        <v>424</v>
      </c>
      <c r="F102" s="21" t="s">
        <v>425</v>
      </c>
      <c r="G102" s="21" t="s">
        <v>426</v>
      </c>
      <c r="H102" s="22">
        <v>46177.73511574074</v>
      </c>
      <c r="I102" s="22">
        <v>46177.73511574074</v>
      </c>
    </row>
    <row r="103" ht="22.5" customHeight="1">
      <c r="A103" s="18">
        <v>102.0</v>
      </c>
      <c r="B103" s="19" t="s">
        <v>422</v>
      </c>
      <c r="C103" s="18">
        <v>6.0</v>
      </c>
      <c r="D103" s="20" t="s">
        <v>427</v>
      </c>
      <c r="E103" s="21" t="s">
        <v>428</v>
      </c>
      <c r="F103" s="21" t="s">
        <v>429</v>
      </c>
      <c r="G103" s="21" t="s">
        <v>430</v>
      </c>
      <c r="H103" s="22">
        <v>46177.73511574074</v>
      </c>
      <c r="I103" s="22">
        <v>46177.73511574074</v>
      </c>
    </row>
    <row r="104" ht="22.5" customHeight="1">
      <c r="A104" s="18">
        <v>103.0</v>
      </c>
      <c r="B104" s="19" t="s">
        <v>422</v>
      </c>
      <c r="C104" s="18">
        <v>16.0</v>
      </c>
      <c r="D104" s="20" t="s">
        <v>431</v>
      </c>
      <c r="E104" s="21" t="s">
        <v>432</v>
      </c>
      <c r="F104" s="21" t="s">
        <v>433</v>
      </c>
      <c r="G104" s="21" t="s">
        <v>434</v>
      </c>
      <c r="H104" s="22">
        <v>46177.735127314816</v>
      </c>
      <c r="I104" s="22">
        <v>46177.735127314816</v>
      </c>
    </row>
    <row r="105" ht="22.5" customHeight="1">
      <c r="A105" s="18">
        <v>104.0</v>
      </c>
      <c r="B105" s="19" t="s">
        <v>422</v>
      </c>
      <c r="C105" s="18">
        <v>2.0</v>
      </c>
      <c r="D105" s="20" t="s">
        <v>435</v>
      </c>
      <c r="E105" s="21" t="s">
        <v>436</v>
      </c>
      <c r="F105" s="21" t="s">
        <v>437</v>
      </c>
      <c r="G105" s="21" t="s">
        <v>438</v>
      </c>
      <c r="H105" s="22">
        <v>46177.735127314816</v>
      </c>
      <c r="I105" s="22">
        <v>46177.735127314816</v>
      </c>
    </row>
    <row r="106" ht="22.5" customHeight="1">
      <c r="A106" s="18">
        <v>105.0</v>
      </c>
      <c r="B106" s="19" t="s">
        <v>422</v>
      </c>
      <c r="C106" s="18">
        <v>12.0</v>
      </c>
      <c r="D106" s="20" t="s">
        <v>439</v>
      </c>
      <c r="E106" s="21" t="s">
        <v>440</v>
      </c>
      <c r="F106" s="21" t="s">
        <v>441</v>
      </c>
      <c r="G106" s="21" t="s">
        <v>442</v>
      </c>
      <c r="H106" s="22">
        <v>46177.735127314816</v>
      </c>
      <c r="I106" s="22">
        <v>46177.735127314816</v>
      </c>
    </row>
    <row r="107" ht="22.5" customHeight="1">
      <c r="A107" s="18">
        <v>106.0</v>
      </c>
      <c r="B107" s="19" t="s">
        <v>422</v>
      </c>
      <c r="C107" s="18">
        <v>18.0</v>
      </c>
      <c r="D107" s="20" t="s">
        <v>443</v>
      </c>
      <c r="E107" s="21" t="s">
        <v>444</v>
      </c>
      <c r="F107" s="21" t="s">
        <v>445</v>
      </c>
      <c r="G107" s="21" t="s">
        <v>446</v>
      </c>
      <c r="H107" s="22">
        <v>46177.735138888886</v>
      </c>
      <c r="I107" s="22">
        <v>46177.735138888886</v>
      </c>
    </row>
    <row r="108" ht="22.5" customHeight="1">
      <c r="A108" s="18">
        <v>107.0</v>
      </c>
      <c r="B108" s="19" t="s">
        <v>422</v>
      </c>
      <c r="C108" s="18">
        <v>8.0</v>
      </c>
      <c r="D108" s="20" t="s">
        <v>447</v>
      </c>
      <c r="E108" s="21" t="s">
        <v>448</v>
      </c>
      <c r="F108" s="21" t="s">
        <v>449</v>
      </c>
      <c r="G108" s="21" t="s">
        <v>450</v>
      </c>
      <c r="H108" s="22">
        <v>46177.735138888886</v>
      </c>
      <c r="I108" s="22">
        <v>46177.735138888886</v>
      </c>
    </row>
    <row r="109" ht="22.5" customHeight="1">
      <c r="A109" s="18">
        <v>108.0</v>
      </c>
      <c r="B109" s="19" t="s">
        <v>422</v>
      </c>
      <c r="C109" s="18">
        <v>24.0</v>
      </c>
      <c r="D109" s="20" t="s">
        <v>451</v>
      </c>
      <c r="E109" s="21" t="s">
        <v>452</v>
      </c>
      <c r="F109" s="21" t="s">
        <v>453</v>
      </c>
      <c r="G109" s="21" t="s">
        <v>454</v>
      </c>
      <c r="H109" s="22">
        <v>46177.735138888886</v>
      </c>
      <c r="I109" s="22">
        <v>46177.735138888886</v>
      </c>
    </row>
    <row r="110" ht="22.5" customHeight="1">
      <c r="A110" s="18">
        <v>109.0</v>
      </c>
      <c r="B110" s="19" t="s">
        <v>422</v>
      </c>
      <c r="C110" s="18">
        <v>9.0</v>
      </c>
      <c r="D110" s="20" t="s">
        <v>455</v>
      </c>
      <c r="E110" s="21" t="s">
        <v>456</v>
      </c>
      <c r="F110" s="21" t="s">
        <v>457</v>
      </c>
      <c r="G110" s="21" t="s">
        <v>458</v>
      </c>
      <c r="H110" s="22">
        <v>46177.73515046296</v>
      </c>
      <c r="I110" s="22">
        <v>46177.73515046296</v>
      </c>
    </row>
    <row r="111" ht="22.5" customHeight="1">
      <c r="A111" s="18">
        <v>110.0</v>
      </c>
      <c r="B111" s="19" t="s">
        <v>422</v>
      </c>
      <c r="C111" s="18">
        <v>7.0</v>
      </c>
      <c r="D111" s="20" t="s">
        <v>459</v>
      </c>
      <c r="E111" s="21" t="s">
        <v>460</v>
      </c>
      <c r="F111" s="21" t="s">
        <v>461</v>
      </c>
      <c r="G111" s="21" t="s">
        <v>462</v>
      </c>
      <c r="H111" s="22">
        <v>46177.73515046296</v>
      </c>
      <c r="I111" s="22">
        <v>46177.73515046296</v>
      </c>
    </row>
    <row r="112" ht="22.5" customHeight="1">
      <c r="A112" s="18">
        <v>111.0</v>
      </c>
      <c r="B112" s="19" t="s">
        <v>422</v>
      </c>
      <c r="C112" s="18">
        <v>20.0</v>
      </c>
      <c r="D112" s="20" t="s">
        <v>463</v>
      </c>
      <c r="E112" s="21" t="s">
        <v>464</v>
      </c>
      <c r="F112" s="21" t="s">
        <v>465</v>
      </c>
      <c r="G112" s="21" t="s">
        <v>466</v>
      </c>
      <c r="H112" s="22">
        <v>46177.73515046296</v>
      </c>
      <c r="I112" s="22">
        <v>46177.73515046296</v>
      </c>
    </row>
    <row r="113" ht="22.5" customHeight="1">
      <c r="A113" s="18">
        <v>112.0</v>
      </c>
      <c r="B113" s="19" t="s">
        <v>422</v>
      </c>
      <c r="C113" s="18">
        <v>3.0</v>
      </c>
      <c r="D113" s="20" t="s">
        <v>467</v>
      </c>
      <c r="E113" s="21" t="s">
        <v>468</v>
      </c>
      <c r="F113" s="21" t="s">
        <v>469</v>
      </c>
      <c r="G113" s="21" t="s">
        <v>470</v>
      </c>
      <c r="H113" s="22">
        <v>46177.73516203704</v>
      </c>
      <c r="I113" s="22">
        <v>46177.73516203704</v>
      </c>
    </row>
    <row r="114" ht="22.5" customHeight="1">
      <c r="A114" s="18">
        <v>113.0</v>
      </c>
      <c r="B114" s="19" t="s">
        <v>422</v>
      </c>
      <c r="C114" s="18">
        <v>13.0</v>
      </c>
      <c r="D114" s="20" t="s">
        <v>471</v>
      </c>
      <c r="E114" s="21" t="s">
        <v>472</v>
      </c>
      <c r="F114" s="21" t="s">
        <v>473</v>
      </c>
      <c r="G114" s="21" t="s">
        <v>474</v>
      </c>
      <c r="H114" s="22">
        <v>46177.73516203704</v>
      </c>
      <c r="I114" s="22">
        <v>46177.73516203704</v>
      </c>
    </row>
    <row r="115" ht="22.5" customHeight="1">
      <c r="A115" s="18">
        <v>114.0</v>
      </c>
      <c r="B115" s="19" t="s">
        <v>422</v>
      </c>
      <c r="C115" s="18">
        <v>5.0</v>
      </c>
      <c r="D115" s="20" t="s">
        <v>475</v>
      </c>
      <c r="E115" s="21" t="s">
        <v>476</v>
      </c>
      <c r="F115" s="21" t="s">
        <v>477</v>
      </c>
      <c r="G115" s="21" t="s">
        <v>478</v>
      </c>
      <c r="H115" s="22">
        <v>46177.73516203704</v>
      </c>
      <c r="I115" s="22">
        <v>46177.73516203704</v>
      </c>
    </row>
    <row r="116" ht="22.5" customHeight="1">
      <c r="A116" s="18">
        <v>115.0</v>
      </c>
      <c r="B116" s="19" t="s">
        <v>422</v>
      </c>
      <c r="C116" s="18">
        <v>22.0</v>
      </c>
      <c r="D116" s="20" t="s">
        <v>479</v>
      </c>
      <c r="E116" s="21" t="s">
        <v>480</v>
      </c>
      <c r="F116" s="21" t="s">
        <v>481</v>
      </c>
      <c r="G116" s="21" t="s">
        <v>482</v>
      </c>
      <c r="H116" s="22">
        <v>46177.73517361111</v>
      </c>
      <c r="I116" s="22">
        <v>46177.73517361111</v>
      </c>
    </row>
    <row r="117" ht="22.5" customHeight="1">
      <c r="A117" s="18">
        <v>116.0</v>
      </c>
      <c r="B117" s="19" t="s">
        <v>422</v>
      </c>
      <c r="C117" s="18">
        <v>17.0</v>
      </c>
      <c r="D117" s="20" t="s">
        <v>483</v>
      </c>
      <c r="E117" s="21" t="s">
        <v>484</v>
      </c>
      <c r="F117" s="21" t="s">
        <v>485</v>
      </c>
      <c r="G117" s="21" t="s">
        <v>486</v>
      </c>
      <c r="H117" s="22">
        <v>46177.73517361111</v>
      </c>
      <c r="I117" s="22">
        <v>46177.73517361111</v>
      </c>
    </row>
    <row r="118" ht="22.5" customHeight="1">
      <c r="A118" s="18">
        <v>117.0</v>
      </c>
      <c r="B118" s="19" t="s">
        <v>422</v>
      </c>
      <c r="C118" s="18">
        <v>11.0</v>
      </c>
      <c r="D118" s="20" t="s">
        <v>487</v>
      </c>
      <c r="E118" s="21" t="s">
        <v>488</v>
      </c>
      <c r="F118" s="21" t="s">
        <v>489</v>
      </c>
      <c r="G118" s="21" t="s">
        <v>490</v>
      </c>
      <c r="H118" s="22">
        <v>46177.73517361111</v>
      </c>
      <c r="I118" s="22">
        <v>46177.73517361111</v>
      </c>
    </row>
    <row r="119" ht="22.5" customHeight="1">
      <c r="A119" s="18">
        <v>118.0</v>
      </c>
      <c r="B119" s="19" t="s">
        <v>422</v>
      </c>
      <c r="C119" s="18">
        <v>23.0</v>
      </c>
      <c r="D119" s="20" t="s">
        <v>491</v>
      </c>
      <c r="E119" s="21" t="s">
        <v>492</v>
      </c>
      <c r="F119" s="21" t="s">
        <v>493</v>
      </c>
      <c r="G119" s="21" t="s">
        <v>494</v>
      </c>
      <c r="H119" s="22">
        <v>46177.735185185185</v>
      </c>
      <c r="I119" s="22">
        <v>46177.735185185185</v>
      </c>
    </row>
    <row r="120" ht="22.5" customHeight="1">
      <c r="A120" s="18">
        <v>119.0</v>
      </c>
      <c r="B120" s="19" t="s">
        <v>422</v>
      </c>
      <c r="C120" s="18">
        <v>26.0</v>
      </c>
      <c r="D120" s="20" t="s">
        <v>495</v>
      </c>
      <c r="E120" s="21" t="s">
        <v>496</v>
      </c>
      <c r="F120" s="21" t="s">
        <v>497</v>
      </c>
      <c r="G120" s="21" t="s">
        <v>498</v>
      </c>
      <c r="H120" s="22">
        <v>46177.735185185185</v>
      </c>
      <c r="I120" s="22">
        <v>46177.735185185185</v>
      </c>
    </row>
    <row r="121" ht="22.5" customHeight="1">
      <c r="A121" s="18">
        <v>120.0</v>
      </c>
      <c r="B121" s="19" t="s">
        <v>422</v>
      </c>
      <c r="C121" s="18">
        <v>25.0</v>
      </c>
      <c r="D121" s="20" t="s">
        <v>499</v>
      </c>
      <c r="E121" s="21" t="s">
        <v>500</v>
      </c>
      <c r="F121" s="21" t="s">
        <v>501</v>
      </c>
      <c r="G121" s="21" t="s">
        <v>502</v>
      </c>
      <c r="H121" s="22">
        <v>46177.735185185185</v>
      </c>
      <c r="I121" s="22">
        <v>46177.735185185185</v>
      </c>
    </row>
    <row r="122" ht="22.5" customHeight="1">
      <c r="A122" s="18">
        <v>121.0</v>
      </c>
      <c r="B122" s="19" t="s">
        <v>422</v>
      </c>
      <c r="C122" s="18">
        <v>4.0</v>
      </c>
      <c r="D122" s="20" t="s">
        <v>503</v>
      </c>
      <c r="E122" s="21" t="s">
        <v>504</v>
      </c>
      <c r="F122" s="21" t="s">
        <v>505</v>
      </c>
      <c r="G122" s="21" t="s">
        <v>506</v>
      </c>
      <c r="H122" s="22">
        <v>46177.73519675926</v>
      </c>
      <c r="I122" s="22">
        <v>46177.73519675926</v>
      </c>
    </row>
    <row r="123" ht="22.5" customHeight="1">
      <c r="A123" s="18">
        <v>122.0</v>
      </c>
      <c r="B123" s="19" t="s">
        <v>422</v>
      </c>
      <c r="C123" s="18">
        <v>29.0</v>
      </c>
      <c r="D123" s="20" t="s">
        <v>507</v>
      </c>
      <c r="E123" s="21" t="s">
        <v>508</v>
      </c>
      <c r="F123" s="21" t="s">
        <v>509</v>
      </c>
      <c r="G123" s="21" t="s">
        <v>510</v>
      </c>
      <c r="H123" s="22">
        <v>46177.73520833333</v>
      </c>
      <c r="I123" s="22">
        <v>46177.73520833333</v>
      </c>
    </row>
    <row r="124" ht="22.5" customHeight="1">
      <c r="A124" s="18">
        <v>123.0</v>
      </c>
      <c r="B124" s="19" t="s">
        <v>422</v>
      </c>
      <c r="C124" s="18">
        <v>28.0</v>
      </c>
      <c r="D124" s="20" t="s">
        <v>511</v>
      </c>
      <c r="E124" s="21" t="s">
        <v>512</v>
      </c>
      <c r="F124" s="21" t="s">
        <v>513</v>
      </c>
      <c r="G124" s="21" t="s">
        <v>514</v>
      </c>
      <c r="H124" s="22">
        <v>46177.73520833333</v>
      </c>
      <c r="I124" s="22">
        <v>46177.73520833333</v>
      </c>
    </row>
    <row r="125" ht="22.5" customHeight="1">
      <c r="A125" s="18">
        <v>124.0</v>
      </c>
      <c r="B125" s="19" t="s">
        <v>422</v>
      </c>
      <c r="C125" s="18">
        <v>19.0</v>
      </c>
      <c r="D125" s="20" t="s">
        <v>515</v>
      </c>
      <c r="E125" s="21" t="s">
        <v>516</v>
      </c>
      <c r="F125" s="21" t="s">
        <v>517</v>
      </c>
      <c r="G125" s="21" t="s">
        <v>518</v>
      </c>
      <c r="H125" s="22">
        <v>46177.73520833333</v>
      </c>
      <c r="I125" s="22">
        <v>46177.73520833333</v>
      </c>
    </row>
    <row r="126" ht="22.5" customHeight="1">
      <c r="A126" s="18">
        <v>125.0</v>
      </c>
      <c r="B126" s="19" t="s">
        <v>422</v>
      </c>
      <c r="C126" s="18">
        <v>10.0</v>
      </c>
      <c r="D126" s="20" t="s">
        <v>519</v>
      </c>
      <c r="E126" s="21" t="s">
        <v>520</v>
      </c>
      <c r="F126" s="21" t="s">
        <v>521</v>
      </c>
      <c r="G126" s="21" t="s">
        <v>522</v>
      </c>
      <c r="H126" s="22">
        <v>46177.73521990741</v>
      </c>
      <c r="I126" s="22">
        <v>46177.73521990741</v>
      </c>
    </row>
    <row r="127" ht="22.5" customHeight="1">
      <c r="A127" s="18">
        <v>126.0</v>
      </c>
      <c r="B127" s="19" t="s">
        <v>422</v>
      </c>
      <c r="C127" s="18">
        <v>36.0</v>
      </c>
      <c r="D127" s="20" t="s">
        <v>523</v>
      </c>
      <c r="E127" s="21" t="s">
        <v>524</v>
      </c>
      <c r="F127" s="21" t="s">
        <v>525</v>
      </c>
      <c r="G127" s="21" t="s">
        <v>526</v>
      </c>
      <c r="H127" s="22">
        <v>46177.73521990741</v>
      </c>
      <c r="I127" s="22">
        <v>46177.73521990741</v>
      </c>
    </row>
    <row r="128" ht="22.5" customHeight="1">
      <c r="A128" s="18">
        <v>127.0</v>
      </c>
      <c r="B128" s="19" t="s">
        <v>422</v>
      </c>
      <c r="C128" s="18">
        <v>31.0</v>
      </c>
      <c r="D128" s="20" t="s">
        <v>527</v>
      </c>
      <c r="E128" s="21" t="s">
        <v>528</v>
      </c>
      <c r="F128" s="21" t="s">
        <v>529</v>
      </c>
      <c r="G128" s="21" t="s">
        <v>530</v>
      </c>
      <c r="H128" s="22">
        <v>46177.73523148148</v>
      </c>
      <c r="I128" s="22">
        <v>46177.73523148148</v>
      </c>
    </row>
    <row r="129" ht="22.5" customHeight="1">
      <c r="A129" s="18">
        <v>128.0</v>
      </c>
      <c r="B129" s="19" t="s">
        <v>422</v>
      </c>
      <c r="C129" s="18">
        <v>21.0</v>
      </c>
      <c r="D129" s="20" t="s">
        <v>531</v>
      </c>
      <c r="E129" s="21" t="s">
        <v>532</v>
      </c>
      <c r="F129" s="21" t="s">
        <v>533</v>
      </c>
      <c r="G129" s="21" t="s">
        <v>534</v>
      </c>
      <c r="H129" s="22">
        <v>46177.73523148148</v>
      </c>
      <c r="I129" s="22">
        <v>46177.73523148148</v>
      </c>
    </row>
    <row r="130" ht="22.5" customHeight="1">
      <c r="A130" s="18">
        <v>129.0</v>
      </c>
      <c r="B130" s="19" t="s">
        <v>422</v>
      </c>
      <c r="C130" s="18">
        <v>33.0</v>
      </c>
      <c r="D130" s="20" t="s">
        <v>535</v>
      </c>
      <c r="E130" s="21" t="s">
        <v>536</v>
      </c>
      <c r="F130" s="21" t="s">
        <v>537</v>
      </c>
      <c r="G130" s="21" t="s">
        <v>538</v>
      </c>
      <c r="H130" s="22">
        <v>46177.73523148148</v>
      </c>
      <c r="I130" s="22">
        <v>46177.73523148148</v>
      </c>
    </row>
    <row r="131" ht="22.5" customHeight="1">
      <c r="A131" s="18">
        <v>130.0</v>
      </c>
      <c r="B131" s="19" t="s">
        <v>422</v>
      </c>
      <c r="C131" s="18">
        <v>27.0</v>
      </c>
      <c r="D131" s="20" t="s">
        <v>539</v>
      </c>
      <c r="E131" s="21" t="s">
        <v>540</v>
      </c>
      <c r="F131" s="21" t="s">
        <v>541</v>
      </c>
      <c r="G131" s="21" t="s">
        <v>542</v>
      </c>
      <c r="H131" s="22">
        <v>46177.735243055555</v>
      </c>
      <c r="I131" s="22">
        <v>46177.735243055555</v>
      </c>
    </row>
    <row r="132" ht="22.5" customHeight="1">
      <c r="A132" s="18">
        <v>131.0</v>
      </c>
      <c r="B132" s="19" t="s">
        <v>422</v>
      </c>
      <c r="C132" s="18">
        <v>38.0</v>
      </c>
      <c r="D132" s="20" t="s">
        <v>543</v>
      </c>
      <c r="E132" s="21" t="s">
        <v>544</v>
      </c>
      <c r="F132" s="21" t="s">
        <v>545</v>
      </c>
      <c r="G132" s="21" t="s">
        <v>546</v>
      </c>
      <c r="H132" s="22">
        <v>46177.735243055555</v>
      </c>
      <c r="I132" s="22">
        <v>46177.735243055555</v>
      </c>
    </row>
    <row r="133" ht="22.5" customHeight="1">
      <c r="A133" s="18">
        <v>132.0</v>
      </c>
      <c r="B133" s="19" t="s">
        <v>422</v>
      </c>
      <c r="C133" s="18">
        <v>14.0</v>
      </c>
      <c r="D133" s="20" t="s">
        <v>547</v>
      </c>
      <c r="E133" s="21" t="s">
        <v>548</v>
      </c>
      <c r="F133" s="21" t="s">
        <v>549</v>
      </c>
      <c r="G133" s="21" t="s">
        <v>550</v>
      </c>
      <c r="H133" s="22">
        <v>46177.735243055555</v>
      </c>
      <c r="I133" s="22">
        <v>46177.735243055555</v>
      </c>
    </row>
    <row r="134" ht="22.5" customHeight="1">
      <c r="A134" s="18">
        <v>133.0</v>
      </c>
      <c r="B134" s="19" t="s">
        <v>422</v>
      </c>
      <c r="C134" s="18">
        <v>34.0</v>
      </c>
      <c r="D134" s="20" t="s">
        <v>551</v>
      </c>
      <c r="E134" s="21" t="s">
        <v>552</v>
      </c>
      <c r="F134" s="21" t="s">
        <v>553</v>
      </c>
      <c r="G134" s="21" t="s">
        <v>554</v>
      </c>
      <c r="H134" s="22">
        <v>46177.73525462963</v>
      </c>
      <c r="I134" s="22">
        <v>46177.73525462963</v>
      </c>
    </row>
    <row r="135" ht="22.5" customHeight="1">
      <c r="A135" s="18">
        <v>134.0</v>
      </c>
      <c r="B135" s="19" t="s">
        <v>422</v>
      </c>
      <c r="C135" s="18">
        <v>15.0</v>
      </c>
      <c r="D135" s="20" t="s">
        <v>555</v>
      </c>
      <c r="E135" s="21" t="s">
        <v>556</v>
      </c>
      <c r="F135" s="21" t="s">
        <v>557</v>
      </c>
      <c r="G135" s="21" t="s">
        <v>558</v>
      </c>
      <c r="H135" s="22">
        <v>46177.73525462963</v>
      </c>
      <c r="I135" s="22">
        <v>46177.73525462963</v>
      </c>
    </row>
    <row r="136" ht="22.5" customHeight="1">
      <c r="A136" s="18">
        <v>135.0</v>
      </c>
      <c r="B136" s="19" t="s">
        <v>422</v>
      </c>
      <c r="C136" s="18">
        <v>32.0</v>
      </c>
      <c r="D136" s="20" t="s">
        <v>559</v>
      </c>
      <c r="E136" s="21" t="s">
        <v>560</v>
      </c>
      <c r="F136" s="21" t="s">
        <v>561</v>
      </c>
      <c r="G136" s="21" t="s">
        <v>562</v>
      </c>
      <c r="H136" s="22">
        <v>46177.73525462963</v>
      </c>
      <c r="I136" s="22">
        <v>46177.73525462963</v>
      </c>
    </row>
    <row r="137" ht="22.5" customHeight="1">
      <c r="A137" s="18">
        <v>136.0</v>
      </c>
      <c r="B137" s="19" t="s">
        <v>422</v>
      </c>
      <c r="C137" s="18">
        <v>30.0</v>
      </c>
      <c r="D137" s="20" t="s">
        <v>563</v>
      </c>
      <c r="E137" s="20" t="s">
        <v>564</v>
      </c>
      <c r="F137" s="21" t="s">
        <v>565</v>
      </c>
      <c r="G137" s="21" t="s">
        <v>566</v>
      </c>
      <c r="H137" s="22">
        <v>46177.7352662037</v>
      </c>
      <c r="I137" s="22">
        <v>46177.7352662037</v>
      </c>
    </row>
    <row r="138" ht="22.5" customHeight="1">
      <c r="A138" s="18">
        <v>137.0</v>
      </c>
      <c r="B138" s="19" t="s">
        <v>422</v>
      </c>
      <c r="C138" s="18">
        <v>37.0</v>
      </c>
      <c r="D138" s="20" t="s">
        <v>567</v>
      </c>
      <c r="E138" s="21" t="s">
        <v>568</v>
      </c>
      <c r="F138" s="21" t="s">
        <v>569</v>
      </c>
      <c r="G138" s="21" t="s">
        <v>570</v>
      </c>
      <c r="H138" s="22">
        <v>46177.7352662037</v>
      </c>
      <c r="I138" s="22">
        <v>46177.7352662037</v>
      </c>
    </row>
    <row r="139" ht="22.5" customHeight="1">
      <c r="A139" s="18">
        <v>138.0</v>
      </c>
      <c r="B139" s="19" t="s">
        <v>422</v>
      </c>
      <c r="C139" s="18">
        <v>40.0</v>
      </c>
      <c r="D139" s="20" t="s">
        <v>571</v>
      </c>
      <c r="E139" s="21" t="s">
        <v>572</v>
      </c>
      <c r="F139" s="21" t="s">
        <v>573</v>
      </c>
      <c r="G139" s="21" t="s">
        <v>574</v>
      </c>
      <c r="H139" s="22">
        <v>46177.7352662037</v>
      </c>
      <c r="I139" s="22">
        <v>46177.7352662037</v>
      </c>
    </row>
    <row r="140" ht="22.5" customHeight="1">
      <c r="A140" s="18">
        <v>139.0</v>
      </c>
      <c r="B140" s="19" t="s">
        <v>422</v>
      </c>
      <c r="C140" s="18">
        <v>35.0</v>
      </c>
      <c r="D140" s="20" t="s">
        <v>575</v>
      </c>
      <c r="E140" s="21" t="s">
        <v>576</v>
      </c>
      <c r="F140" s="21" t="s">
        <v>577</v>
      </c>
      <c r="G140" s="21" t="s">
        <v>578</v>
      </c>
      <c r="H140" s="22">
        <v>46177.73527777778</v>
      </c>
      <c r="I140" s="22">
        <v>46177.73527777778</v>
      </c>
    </row>
    <row r="141" ht="22.5" customHeight="1">
      <c r="A141" s="18">
        <v>140.0</v>
      </c>
      <c r="B141" s="19" t="s">
        <v>422</v>
      </c>
      <c r="C141" s="18">
        <v>43.0</v>
      </c>
      <c r="D141" s="20" t="s">
        <v>579</v>
      </c>
      <c r="E141" s="21" t="s">
        <v>580</v>
      </c>
      <c r="F141" s="21" t="s">
        <v>581</v>
      </c>
      <c r="G141" s="21" t="s">
        <v>582</v>
      </c>
      <c r="H141" s="22">
        <v>46177.73527777778</v>
      </c>
      <c r="I141" s="22">
        <v>46177.73527777778</v>
      </c>
    </row>
    <row r="142" ht="22.5" customHeight="1">
      <c r="A142" s="18">
        <v>141.0</v>
      </c>
      <c r="B142" s="19" t="s">
        <v>422</v>
      </c>
      <c r="C142" s="18">
        <v>48.0</v>
      </c>
      <c r="D142" s="20" t="s">
        <v>583</v>
      </c>
      <c r="E142" s="21" t="s">
        <v>584</v>
      </c>
      <c r="F142" s="21" t="s">
        <v>585</v>
      </c>
      <c r="G142" s="21" t="s">
        <v>586</v>
      </c>
      <c r="H142" s="22">
        <v>46177.73527777778</v>
      </c>
      <c r="I142" s="22">
        <v>46177.73527777778</v>
      </c>
    </row>
    <row r="143" ht="22.5" customHeight="1">
      <c r="A143" s="18">
        <v>142.0</v>
      </c>
      <c r="B143" s="19" t="s">
        <v>422</v>
      </c>
      <c r="C143" s="18">
        <v>53.0</v>
      </c>
      <c r="D143" s="20" t="s">
        <v>587</v>
      </c>
      <c r="E143" s="21" t="s">
        <v>588</v>
      </c>
      <c r="F143" s="21" t="s">
        <v>589</v>
      </c>
      <c r="G143" s="21" t="s">
        <v>590</v>
      </c>
      <c r="H143" s="22">
        <v>46177.735289351855</v>
      </c>
      <c r="I143" s="22">
        <v>46177.735289351855</v>
      </c>
    </row>
    <row r="144" ht="22.5" customHeight="1">
      <c r="A144" s="18">
        <v>143.0</v>
      </c>
      <c r="B144" s="19" t="s">
        <v>422</v>
      </c>
      <c r="C144" s="18">
        <v>46.0</v>
      </c>
      <c r="D144" s="20" t="s">
        <v>591</v>
      </c>
      <c r="E144" s="21" t="s">
        <v>592</v>
      </c>
      <c r="F144" s="21" t="s">
        <v>593</v>
      </c>
      <c r="G144" s="21" t="s">
        <v>594</v>
      </c>
      <c r="H144" s="22">
        <v>46177.735289351855</v>
      </c>
      <c r="I144" s="22">
        <v>46177.735289351855</v>
      </c>
    </row>
    <row r="145" ht="22.5" customHeight="1">
      <c r="A145" s="18">
        <v>144.0</v>
      </c>
      <c r="B145" s="19" t="s">
        <v>422</v>
      </c>
      <c r="C145" s="18">
        <v>41.0</v>
      </c>
      <c r="D145" s="20" t="s">
        <v>595</v>
      </c>
      <c r="E145" s="21" t="s">
        <v>596</v>
      </c>
      <c r="F145" s="21" t="s">
        <v>597</v>
      </c>
      <c r="G145" s="21" t="s">
        <v>598</v>
      </c>
      <c r="H145" s="22">
        <v>46177.735289351855</v>
      </c>
      <c r="I145" s="22">
        <v>46177.735289351855</v>
      </c>
    </row>
    <row r="146" ht="22.5" customHeight="1">
      <c r="A146" s="18">
        <v>145.0</v>
      </c>
      <c r="B146" s="19" t="s">
        <v>422</v>
      </c>
      <c r="C146" s="18">
        <v>56.0</v>
      </c>
      <c r="D146" s="20" t="s">
        <v>599</v>
      </c>
      <c r="E146" s="21" t="s">
        <v>600</v>
      </c>
      <c r="F146" s="21" t="s">
        <v>601</v>
      </c>
      <c r="G146" s="21" t="s">
        <v>602</v>
      </c>
      <c r="H146" s="22">
        <v>46177.735300925924</v>
      </c>
      <c r="I146" s="22">
        <v>46177.735300925924</v>
      </c>
    </row>
    <row r="147" ht="22.5" customHeight="1">
      <c r="A147" s="18">
        <v>146.0</v>
      </c>
      <c r="B147" s="19" t="s">
        <v>422</v>
      </c>
      <c r="C147" s="18">
        <v>58.0</v>
      </c>
      <c r="D147" s="20" t="s">
        <v>603</v>
      </c>
      <c r="E147" s="21" t="s">
        <v>604</v>
      </c>
      <c r="F147" s="21" t="s">
        <v>605</v>
      </c>
      <c r="G147" s="21" t="s">
        <v>606</v>
      </c>
      <c r="H147" s="22">
        <v>46177.735300925924</v>
      </c>
      <c r="I147" s="22">
        <v>46177.735300925924</v>
      </c>
    </row>
    <row r="148" ht="22.5" customHeight="1">
      <c r="A148" s="18">
        <v>147.0</v>
      </c>
      <c r="B148" s="19" t="s">
        <v>422</v>
      </c>
      <c r="C148" s="18">
        <v>61.0</v>
      </c>
      <c r="D148" s="20" t="s">
        <v>607</v>
      </c>
      <c r="E148" s="21" t="s">
        <v>608</v>
      </c>
      <c r="F148" s="21" t="s">
        <v>609</v>
      </c>
      <c r="G148" s="21" t="s">
        <v>610</v>
      </c>
      <c r="H148" s="22">
        <v>46177.7353125</v>
      </c>
      <c r="I148" s="22">
        <v>46177.7353125</v>
      </c>
    </row>
    <row r="149" ht="22.5" customHeight="1">
      <c r="A149" s="18">
        <v>148.0</v>
      </c>
      <c r="B149" s="19" t="s">
        <v>422</v>
      </c>
      <c r="C149" s="18">
        <v>47.0</v>
      </c>
      <c r="D149" s="20" t="s">
        <v>611</v>
      </c>
      <c r="E149" s="21" t="s">
        <v>612</v>
      </c>
      <c r="F149" s="21" t="s">
        <v>613</v>
      </c>
      <c r="G149" s="21" t="s">
        <v>614</v>
      </c>
      <c r="H149" s="22">
        <v>46177.7353125</v>
      </c>
      <c r="I149" s="22">
        <v>46177.7353125</v>
      </c>
    </row>
    <row r="150" ht="22.5" customHeight="1">
      <c r="A150" s="18">
        <v>149.0</v>
      </c>
      <c r="B150" s="19" t="s">
        <v>422</v>
      </c>
      <c r="C150" s="18">
        <v>65.0</v>
      </c>
      <c r="D150" s="20" t="s">
        <v>615</v>
      </c>
      <c r="E150" s="21" t="s">
        <v>616</v>
      </c>
      <c r="F150" s="21" t="s">
        <v>617</v>
      </c>
      <c r="G150" s="21" t="s">
        <v>618</v>
      </c>
      <c r="H150" s="22">
        <v>46177.73532407408</v>
      </c>
      <c r="I150" s="22">
        <v>46177.73532407408</v>
      </c>
    </row>
    <row r="151" ht="22.5" customHeight="1">
      <c r="A151" s="18">
        <v>150.0</v>
      </c>
      <c r="B151" s="19" t="s">
        <v>422</v>
      </c>
      <c r="C151" s="18">
        <v>49.0</v>
      </c>
      <c r="D151" s="20" t="s">
        <v>619</v>
      </c>
      <c r="E151" s="21" t="s">
        <v>620</v>
      </c>
      <c r="F151" s="21" t="s">
        <v>621</v>
      </c>
      <c r="G151" s="21" t="s">
        <v>622</v>
      </c>
      <c r="H151" s="22">
        <v>46177.73532407408</v>
      </c>
      <c r="I151" s="22">
        <v>46177.73532407408</v>
      </c>
    </row>
    <row r="152" ht="22.5" customHeight="1">
      <c r="A152" s="18">
        <v>151.0</v>
      </c>
      <c r="B152" s="19" t="s">
        <v>422</v>
      </c>
      <c r="C152" s="18">
        <v>42.0</v>
      </c>
      <c r="D152" s="20" t="s">
        <v>623</v>
      </c>
      <c r="E152" s="21" t="s">
        <v>624</v>
      </c>
      <c r="F152" s="21" t="s">
        <v>625</v>
      </c>
      <c r="G152" s="21" t="s">
        <v>626</v>
      </c>
      <c r="H152" s="22">
        <v>46177.73532407408</v>
      </c>
      <c r="I152" s="22">
        <v>46177.73532407408</v>
      </c>
    </row>
    <row r="153" ht="22.5" customHeight="1">
      <c r="A153" s="18">
        <v>152.0</v>
      </c>
      <c r="B153" s="19" t="s">
        <v>422</v>
      </c>
      <c r="C153" s="18">
        <v>62.0</v>
      </c>
      <c r="D153" s="20" t="s">
        <v>627</v>
      </c>
      <c r="E153" s="21" t="s">
        <v>628</v>
      </c>
      <c r="F153" s="21" t="s">
        <v>629</v>
      </c>
      <c r="G153" s="21" t="s">
        <v>630</v>
      </c>
      <c r="H153" s="22">
        <v>46177.73533564815</v>
      </c>
      <c r="I153" s="22">
        <v>46177.73533564815</v>
      </c>
    </row>
    <row r="154" ht="22.5" customHeight="1">
      <c r="A154" s="18">
        <v>153.0</v>
      </c>
      <c r="B154" s="19" t="s">
        <v>422</v>
      </c>
      <c r="C154" s="18">
        <v>44.0</v>
      </c>
      <c r="D154" s="20" t="s">
        <v>631</v>
      </c>
      <c r="E154" s="21" t="s">
        <v>632</v>
      </c>
      <c r="F154" s="21" t="s">
        <v>633</v>
      </c>
      <c r="G154" s="21" t="s">
        <v>634</v>
      </c>
      <c r="H154" s="22">
        <v>46177.73533564815</v>
      </c>
      <c r="I154" s="22">
        <v>46177.73533564815</v>
      </c>
    </row>
    <row r="155" ht="22.5" customHeight="1">
      <c r="A155" s="18">
        <v>154.0</v>
      </c>
      <c r="B155" s="19" t="s">
        <v>422</v>
      </c>
      <c r="C155" s="18">
        <v>51.0</v>
      </c>
      <c r="D155" s="20" t="s">
        <v>635</v>
      </c>
      <c r="E155" s="21" t="s">
        <v>636</v>
      </c>
      <c r="F155" s="21" t="s">
        <v>637</v>
      </c>
      <c r="G155" s="21" t="s">
        <v>638</v>
      </c>
      <c r="H155" s="22">
        <v>46177.735347222224</v>
      </c>
      <c r="I155" s="22">
        <v>46177.735347222224</v>
      </c>
    </row>
    <row r="156" ht="22.5" customHeight="1">
      <c r="A156" s="18">
        <v>155.0</v>
      </c>
      <c r="B156" s="19" t="s">
        <v>422</v>
      </c>
      <c r="C156" s="18">
        <v>57.0</v>
      </c>
      <c r="D156" s="20" t="s">
        <v>639</v>
      </c>
      <c r="E156" s="21" t="s">
        <v>640</v>
      </c>
      <c r="F156" s="21" t="s">
        <v>641</v>
      </c>
      <c r="G156" s="21" t="s">
        <v>642</v>
      </c>
      <c r="H156" s="22">
        <v>46177.735347222224</v>
      </c>
      <c r="I156" s="22">
        <v>46177.735347222224</v>
      </c>
    </row>
    <row r="157" ht="22.5" customHeight="1">
      <c r="A157" s="18">
        <v>156.0</v>
      </c>
      <c r="B157" s="19" t="s">
        <v>422</v>
      </c>
      <c r="C157" s="18">
        <v>70.0</v>
      </c>
      <c r="D157" s="20" t="s">
        <v>643</v>
      </c>
      <c r="E157" s="21" t="s">
        <v>644</v>
      </c>
      <c r="F157" s="21" t="s">
        <v>645</v>
      </c>
      <c r="G157" s="21" t="s">
        <v>646</v>
      </c>
      <c r="H157" s="22">
        <v>46177.735347222224</v>
      </c>
      <c r="I157" s="22">
        <v>46177.735347222224</v>
      </c>
    </row>
    <row r="158" ht="22.5" customHeight="1">
      <c r="A158" s="18">
        <v>157.0</v>
      </c>
      <c r="B158" s="19" t="s">
        <v>422</v>
      </c>
      <c r="C158" s="18">
        <v>75.0</v>
      </c>
      <c r="D158" s="20" t="s">
        <v>647</v>
      </c>
      <c r="E158" s="21" t="s">
        <v>648</v>
      </c>
      <c r="F158" s="21" t="s">
        <v>649</v>
      </c>
      <c r="G158" s="21" t="s">
        <v>650</v>
      </c>
      <c r="H158" s="22">
        <v>46177.73535879629</v>
      </c>
      <c r="I158" s="22">
        <v>46177.73535879629</v>
      </c>
    </row>
    <row r="159" ht="22.5" customHeight="1">
      <c r="A159" s="18">
        <v>158.0</v>
      </c>
      <c r="B159" s="19" t="s">
        <v>422</v>
      </c>
      <c r="C159" s="18">
        <v>54.0</v>
      </c>
      <c r="D159" s="20" t="s">
        <v>651</v>
      </c>
      <c r="E159" s="21" t="s">
        <v>652</v>
      </c>
      <c r="F159" s="21" t="s">
        <v>653</v>
      </c>
      <c r="G159" s="21" t="s">
        <v>654</v>
      </c>
      <c r="H159" s="22">
        <v>46177.73535879629</v>
      </c>
      <c r="I159" s="22">
        <v>46177.73535879629</v>
      </c>
    </row>
    <row r="160" ht="22.5" customHeight="1">
      <c r="A160" s="18">
        <v>159.0</v>
      </c>
      <c r="B160" s="19" t="s">
        <v>422</v>
      </c>
      <c r="C160" s="18">
        <v>52.0</v>
      </c>
      <c r="D160" s="20" t="s">
        <v>655</v>
      </c>
      <c r="E160" s="21" t="s">
        <v>656</v>
      </c>
      <c r="F160" s="21" t="s">
        <v>657</v>
      </c>
      <c r="G160" s="21" t="s">
        <v>658</v>
      </c>
      <c r="H160" s="22">
        <v>46177.73535879629</v>
      </c>
      <c r="I160" s="22">
        <v>46177.73535879629</v>
      </c>
    </row>
    <row r="161" ht="22.5" customHeight="1">
      <c r="A161" s="18">
        <v>160.0</v>
      </c>
      <c r="B161" s="19" t="s">
        <v>422</v>
      </c>
      <c r="C161" s="18">
        <v>39.0</v>
      </c>
      <c r="D161" s="20" t="s">
        <v>659</v>
      </c>
      <c r="E161" s="21" t="s">
        <v>660</v>
      </c>
      <c r="F161" s="21" t="s">
        <v>661</v>
      </c>
      <c r="G161" s="21" t="s">
        <v>662</v>
      </c>
      <c r="H161" s="22">
        <v>46177.73537037037</v>
      </c>
      <c r="I161" s="22">
        <v>46177.73537037037</v>
      </c>
    </row>
    <row r="162" ht="22.5" customHeight="1">
      <c r="A162" s="18">
        <v>161.0</v>
      </c>
      <c r="B162" s="19" t="s">
        <v>422</v>
      </c>
      <c r="C162" s="18">
        <v>45.0</v>
      </c>
      <c r="D162" s="20" t="s">
        <v>663</v>
      </c>
      <c r="E162" s="21" t="s">
        <v>664</v>
      </c>
      <c r="F162" s="21" t="s">
        <v>665</v>
      </c>
      <c r="G162" s="21" t="s">
        <v>666</v>
      </c>
      <c r="H162" s="22">
        <v>46177.73538194445</v>
      </c>
      <c r="I162" s="22">
        <v>46177.73538194445</v>
      </c>
    </row>
    <row r="163" ht="22.5" customHeight="1">
      <c r="A163" s="18">
        <v>162.0</v>
      </c>
      <c r="B163" s="19" t="s">
        <v>422</v>
      </c>
      <c r="C163" s="18">
        <v>76.0</v>
      </c>
      <c r="D163" s="20" t="s">
        <v>667</v>
      </c>
      <c r="E163" s="21" t="s">
        <v>668</v>
      </c>
      <c r="F163" s="21" t="s">
        <v>669</v>
      </c>
      <c r="G163" s="21" t="s">
        <v>670</v>
      </c>
      <c r="H163" s="22">
        <v>46177.73538194445</v>
      </c>
      <c r="I163" s="22">
        <v>46177.73538194445</v>
      </c>
    </row>
    <row r="164" ht="22.5" customHeight="1">
      <c r="A164" s="18">
        <v>163.0</v>
      </c>
      <c r="B164" s="19" t="s">
        <v>422</v>
      </c>
      <c r="C164" s="18">
        <v>55.0</v>
      </c>
      <c r="D164" s="20" t="s">
        <v>671</v>
      </c>
      <c r="E164" s="21" t="s">
        <v>672</v>
      </c>
      <c r="F164" s="21" t="s">
        <v>673</v>
      </c>
      <c r="G164" s="21" t="s">
        <v>674</v>
      </c>
      <c r="H164" s="22">
        <v>46177.73538194445</v>
      </c>
      <c r="I164" s="22">
        <v>46177.73538194445</v>
      </c>
    </row>
    <row r="165" ht="22.5" customHeight="1">
      <c r="A165" s="18">
        <v>164.0</v>
      </c>
      <c r="B165" s="19" t="s">
        <v>422</v>
      </c>
      <c r="C165" s="18">
        <v>67.0</v>
      </c>
      <c r="D165" s="20" t="s">
        <v>675</v>
      </c>
      <c r="E165" s="21" t="s">
        <v>676</v>
      </c>
      <c r="F165" s="21" t="s">
        <v>677</v>
      </c>
      <c r="G165" s="21" t="s">
        <v>678</v>
      </c>
      <c r="H165" s="22">
        <v>46177.73539351852</v>
      </c>
      <c r="I165" s="22">
        <v>46177.73539351852</v>
      </c>
    </row>
    <row r="166" ht="22.5" customHeight="1">
      <c r="A166" s="18">
        <v>165.0</v>
      </c>
      <c r="B166" s="19" t="s">
        <v>422</v>
      </c>
      <c r="C166" s="18">
        <v>87.0</v>
      </c>
      <c r="D166" s="20" t="s">
        <v>679</v>
      </c>
      <c r="E166" s="21" t="s">
        <v>680</v>
      </c>
      <c r="F166" s="21" t="s">
        <v>681</v>
      </c>
      <c r="G166" s="21" t="s">
        <v>682</v>
      </c>
      <c r="H166" s="22">
        <v>46177.73539351852</v>
      </c>
      <c r="I166" s="22">
        <v>46177.73539351852</v>
      </c>
    </row>
    <row r="167" ht="22.5" customHeight="1">
      <c r="A167" s="18">
        <v>166.0</v>
      </c>
      <c r="B167" s="19" t="s">
        <v>422</v>
      </c>
      <c r="C167" s="18">
        <v>74.0</v>
      </c>
      <c r="D167" s="20" t="s">
        <v>683</v>
      </c>
      <c r="E167" s="21" t="s">
        <v>684</v>
      </c>
      <c r="F167" s="21" t="s">
        <v>685</v>
      </c>
      <c r="G167" s="21" t="s">
        <v>686</v>
      </c>
      <c r="H167" s="22">
        <v>46177.73540509259</v>
      </c>
      <c r="I167" s="22">
        <v>46177.73540509259</v>
      </c>
    </row>
    <row r="168" ht="22.5" customHeight="1">
      <c r="A168" s="18">
        <v>167.0</v>
      </c>
      <c r="B168" s="19" t="s">
        <v>422</v>
      </c>
      <c r="C168" s="18">
        <v>82.0</v>
      </c>
      <c r="D168" s="20" t="s">
        <v>687</v>
      </c>
      <c r="E168" s="21" t="s">
        <v>688</v>
      </c>
      <c r="F168" s="21" t="s">
        <v>689</v>
      </c>
      <c r="G168" s="21" t="s">
        <v>690</v>
      </c>
      <c r="H168" s="22">
        <v>46177.73540509259</v>
      </c>
      <c r="I168" s="22">
        <v>46177.73540509259</v>
      </c>
    </row>
    <row r="169" ht="22.5" customHeight="1">
      <c r="A169" s="18">
        <v>168.0</v>
      </c>
      <c r="B169" s="19" t="s">
        <v>422</v>
      </c>
      <c r="C169" s="18">
        <v>92.0</v>
      </c>
      <c r="D169" s="20" t="s">
        <v>691</v>
      </c>
      <c r="E169" s="21" t="s">
        <v>692</v>
      </c>
      <c r="F169" s="21" t="s">
        <v>693</v>
      </c>
      <c r="G169" s="21" t="s">
        <v>694</v>
      </c>
      <c r="H169" s="22">
        <v>46177.73540509259</v>
      </c>
      <c r="I169" s="22">
        <v>46177.73540509259</v>
      </c>
    </row>
    <row r="170" ht="22.5" customHeight="1">
      <c r="A170" s="18">
        <v>169.0</v>
      </c>
      <c r="B170" s="19" t="s">
        <v>422</v>
      </c>
      <c r="C170" s="18">
        <v>95.0</v>
      </c>
      <c r="D170" s="20" t="s">
        <v>695</v>
      </c>
      <c r="E170" s="21" t="s">
        <v>696</v>
      </c>
      <c r="F170" s="21" t="s">
        <v>697</v>
      </c>
      <c r="G170" s="21" t="s">
        <v>698</v>
      </c>
      <c r="H170" s="22">
        <v>46177.73541666667</v>
      </c>
      <c r="I170" s="22">
        <v>46177.73541666667</v>
      </c>
    </row>
    <row r="171" ht="22.5" customHeight="1">
      <c r="A171" s="18">
        <v>170.0</v>
      </c>
      <c r="B171" s="19" t="s">
        <v>422</v>
      </c>
      <c r="C171" s="18">
        <v>71.0</v>
      </c>
      <c r="D171" s="20" t="s">
        <v>699</v>
      </c>
      <c r="E171" s="21" t="s">
        <v>700</v>
      </c>
      <c r="F171" s="21" t="s">
        <v>701</v>
      </c>
      <c r="G171" s="21" t="s">
        <v>702</v>
      </c>
      <c r="H171" s="22">
        <v>46177.73541666667</v>
      </c>
      <c r="I171" s="22">
        <v>46177.73541666667</v>
      </c>
    </row>
    <row r="172" ht="22.5" customHeight="1">
      <c r="A172" s="18">
        <v>171.0</v>
      </c>
      <c r="B172" s="19" t="s">
        <v>422</v>
      </c>
      <c r="C172" s="18">
        <v>89.0</v>
      </c>
      <c r="D172" s="20" t="s">
        <v>703</v>
      </c>
      <c r="E172" s="21" t="s">
        <v>704</v>
      </c>
      <c r="F172" s="21" t="s">
        <v>705</v>
      </c>
      <c r="G172" s="21" t="s">
        <v>706</v>
      </c>
      <c r="H172" s="22">
        <v>46177.73542824074</v>
      </c>
      <c r="I172" s="22">
        <v>46177.73542824074</v>
      </c>
    </row>
    <row r="173" ht="22.5" customHeight="1">
      <c r="A173" s="18">
        <v>172.0</v>
      </c>
      <c r="B173" s="19" t="s">
        <v>422</v>
      </c>
      <c r="C173" s="18">
        <v>59.0</v>
      </c>
      <c r="D173" s="20" t="s">
        <v>707</v>
      </c>
      <c r="E173" s="21" t="s">
        <v>708</v>
      </c>
      <c r="F173" s="21" t="s">
        <v>709</v>
      </c>
      <c r="G173" s="21" t="s">
        <v>710</v>
      </c>
      <c r="H173" s="22">
        <v>46177.73542824074</v>
      </c>
      <c r="I173" s="22">
        <v>46177.73542824074</v>
      </c>
    </row>
    <row r="174" ht="22.5" customHeight="1">
      <c r="A174" s="18">
        <v>173.0</v>
      </c>
      <c r="B174" s="19" t="s">
        <v>422</v>
      </c>
      <c r="C174" s="18">
        <v>63.0</v>
      </c>
      <c r="D174" s="20" t="s">
        <v>711</v>
      </c>
      <c r="E174" s="21" t="s">
        <v>712</v>
      </c>
      <c r="F174" s="21" t="s">
        <v>713</v>
      </c>
      <c r="G174" s="21" t="s">
        <v>714</v>
      </c>
      <c r="H174" s="22">
        <v>46177.73542824074</v>
      </c>
      <c r="I174" s="22">
        <v>46177.73542824074</v>
      </c>
    </row>
    <row r="175" ht="22.5" customHeight="1">
      <c r="A175" s="18">
        <v>174.0</v>
      </c>
      <c r="B175" s="19" t="s">
        <v>422</v>
      </c>
      <c r="C175" s="18">
        <v>64.0</v>
      </c>
      <c r="D175" s="20" t="s">
        <v>715</v>
      </c>
      <c r="E175" s="21" t="s">
        <v>716</v>
      </c>
      <c r="F175" s="21" t="s">
        <v>717</v>
      </c>
      <c r="G175" s="21" t="s">
        <v>718</v>
      </c>
      <c r="H175" s="22">
        <v>46177.735439814816</v>
      </c>
      <c r="I175" s="22">
        <v>46177.735439814816</v>
      </c>
    </row>
    <row r="176" ht="22.5" customHeight="1">
      <c r="A176" s="18">
        <v>175.0</v>
      </c>
      <c r="B176" s="19" t="s">
        <v>422</v>
      </c>
      <c r="C176" s="18">
        <v>73.0</v>
      </c>
      <c r="D176" s="20" t="s">
        <v>719</v>
      </c>
      <c r="E176" s="21" t="s">
        <v>720</v>
      </c>
      <c r="F176" s="21" t="s">
        <v>721</v>
      </c>
      <c r="G176" s="21" t="s">
        <v>722</v>
      </c>
      <c r="H176" s="22">
        <v>46177.735439814816</v>
      </c>
      <c r="I176" s="22">
        <v>46177.735439814816</v>
      </c>
    </row>
    <row r="177" ht="22.5" customHeight="1">
      <c r="A177" s="18">
        <v>176.0</v>
      </c>
      <c r="B177" s="19" t="s">
        <v>422</v>
      </c>
      <c r="C177" s="18">
        <v>90.0</v>
      </c>
      <c r="D177" s="20" t="s">
        <v>723</v>
      </c>
      <c r="E177" s="21" t="s">
        <v>724</v>
      </c>
      <c r="F177" s="21" t="s">
        <v>725</v>
      </c>
      <c r="G177" s="21" t="s">
        <v>726</v>
      </c>
      <c r="H177" s="22">
        <v>46177.735451388886</v>
      </c>
      <c r="I177" s="22">
        <v>46177.735451388886</v>
      </c>
    </row>
    <row r="178" ht="22.5" customHeight="1">
      <c r="A178" s="18">
        <v>177.0</v>
      </c>
      <c r="B178" s="19" t="s">
        <v>422</v>
      </c>
      <c r="C178" s="18">
        <v>94.0</v>
      </c>
      <c r="D178" s="20" t="s">
        <v>727</v>
      </c>
      <c r="E178" s="21" t="s">
        <v>728</v>
      </c>
      <c r="F178" s="21" t="s">
        <v>729</v>
      </c>
      <c r="G178" s="21" t="s">
        <v>730</v>
      </c>
      <c r="H178" s="22">
        <v>46177.735451388886</v>
      </c>
      <c r="I178" s="22">
        <v>46177.735451388886</v>
      </c>
    </row>
    <row r="179" ht="22.5" customHeight="1">
      <c r="A179" s="18">
        <v>178.0</v>
      </c>
      <c r="B179" s="19" t="s">
        <v>422</v>
      </c>
      <c r="C179" s="18">
        <v>80.0</v>
      </c>
      <c r="D179" s="20" t="s">
        <v>731</v>
      </c>
      <c r="E179" s="21" t="s">
        <v>732</v>
      </c>
      <c r="F179" s="21" t="s">
        <v>733</v>
      </c>
      <c r="G179" s="21" t="s">
        <v>734</v>
      </c>
      <c r="H179" s="22">
        <v>46177.735451388886</v>
      </c>
      <c r="I179" s="22">
        <v>46177.735451388886</v>
      </c>
    </row>
    <row r="180" ht="22.5" customHeight="1">
      <c r="A180" s="18">
        <v>179.0</v>
      </c>
      <c r="B180" s="19" t="s">
        <v>422</v>
      </c>
      <c r="C180" s="18">
        <v>96.0</v>
      </c>
      <c r="D180" s="20" t="s">
        <v>735</v>
      </c>
      <c r="E180" s="20" t="s">
        <v>736</v>
      </c>
      <c r="F180" s="21" t="s">
        <v>737</v>
      </c>
      <c r="G180" s="21" t="s">
        <v>738</v>
      </c>
      <c r="H180" s="22">
        <v>46177.73546296296</v>
      </c>
      <c r="I180" s="22">
        <v>46177.73546296296</v>
      </c>
    </row>
    <row r="181" ht="22.5" customHeight="1">
      <c r="A181" s="18">
        <v>180.0</v>
      </c>
      <c r="B181" s="19" t="s">
        <v>422</v>
      </c>
      <c r="C181" s="18">
        <v>50.0</v>
      </c>
      <c r="D181" s="20" t="s">
        <v>739</v>
      </c>
      <c r="E181" s="21" t="s">
        <v>740</v>
      </c>
      <c r="F181" s="21" t="s">
        <v>741</v>
      </c>
      <c r="G181" s="21" t="s">
        <v>742</v>
      </c>
      <c r="H181" s="22">
        <v>46177.73546296296</v>
      </c>
      <c r="I181" s="22">
        <v>46177.73546296296</v>
      </c>
    </row>
    <row r="182" ht="22.5" customHeight="1">
      <c r="A182" s="18">
        <v>181.0</v>
      </c>
      <c r="B182" s="19" t="s">
        <v>422</v>
      </c>
      <c r="C182" s="18">
        <v>98.0</v>
      </c>
      <c r="D182" s="20" t="s">
        <v>743</v>
      </c>
      <c r="E182" s="21" t="s">
        <v>744</v>
      </c>
      <c r="F182" s="21" t="s">
        <v>745</v>
      </c>
      <c r="G182" s="21" t="s">
        <v>746</v>
      </c>
      <c r="H182" s="22">
        <v>46177.73547453704</v>
      </c>
      <c r="I182" s="22">
        <v>46177.73547453704</v>
      </c>
    </row>
    <row r="183" ht="22.5" customHeight="1">
      <c r="A183" s="18">
        <v>182.0</v>
      </c>
      <c r="B183" s="19" t="s">
        <v>422</v>
      </c>
      <c r="C183" s="18">
        <v>85.0</v>
      </c>
      <c r="D183" s="20" t="s">
        <v>747</v>
      </c>
      <c r="E183" s="21" t="s">
        <v>748</v>
      </c>
      <c r="F183" s="21" t="s">
        <v>749</v>
      </c>
      <c r="G183" s="21" t="s">
        <v>750</v>
      </c>
      <c r="H183" s="22">
        <v>46177.73547453704</v>
      </c>
      <c r="I183" s="22">
        <v>46177.73547453704</v>
      </c>
    </row>
    <row r="184" ht="22.5" customHeight="1">
      <c r="A184" s="18">
        <v>183.0</v>
      </c>
      <c r="B184" s="19" t="s">
        <v>422</v>
      </c>
      <c r="C184" s="18">
        <v>79.0</v>
      </c>
      <c r="D184" s="20" t="s">
        <v>751</v>
      </c>
      <c r="E184" s="21" t="s">
        <v>752</v>
      </c>
      <c r="F184" s="21" t="s">
        <v>753</v>
      </c>
      <c r="G184" s="21" t="s">
        <v>754</v>
      </c>
      <c r="H184" s="22">
        <v>46177.73547453704</v>
      </c>
      <c r="I184" s="22">
        <v>46177.73547453704</v>
      </c>
    </row>
    <row r="185" ht="22.5" customHeight="1">
      <c r="A185" s="18">
        <v>184.0</v>
      </c>
      <c r="B185" s="19" t="s">
        <v>422</v>
      </c>
      <c r="C185" s="18">
        <v>100.0</v>
      </c>
      <c r="D185" s="20" t="s">
        <v>755</v>
      </c>
      <c r="E185" s="21" t="s">
        <v>756</v>
      </c>
      <c r="F185" s="21" t="s">
        <v>757</v>
      </c>
      <c r="G185" s="21" t="s">
        <v>758</v>
      </c>
      <c r="H185" s="22">
        <v>46177.73548611111</v>
      </c>
      <c r="I185" s="22">
        <v>46177.73548611111</v>
      </c>
    </row>
    <row r="186" ht="22.5" customHeight="1">
      <c r="A186" s="18">
        <v>185.0</v>
      </c>
      <c r="B186" s="19" t="s">
        <v>422</v>
      </c>
      <c r="C186" s="18">
        <v>99.0</v>
      </c>
      <c r="D186" s="20" t="s">
        <v>759</v>
      </c>
      <c r="E186" s="21" t="s">
        <v>760</v>
      </c>
      <c r="F186" s="21" t="s">
        <v>761</v>
      </c>
      <c r="G186" s="21" t="s">
        <v>762</v>
      </c>
      <c r="H186" s="22">
        <v>46177.73548611111</v>
      </c>
      <c r="I186" s="22">
        <v>46177.73548611111</v>
      </c>
    </row>
    <row r="187" ht="22.5" customHeight="1">
      <c r="A187" s="18">
        <v>186.0</v>
      </c>
      <c r="B187" s="19" t="s">
        <v>422</v>
      </c>
      <c r="C187" s="18">
        <v>60.0</v>
      </c>
      <c r="D187" s="20" t="s">
        <v>763</v>
      </c>
      <c r="E187" s="21" t="s">
        <v>764</v>
      </c>
      <c r="F187" s="21" t="s">
        <v>765</v>
      </c>
      <c r="G187" s="21" t="s">
        <v>766</v>
      </c>
      <c r="H187" s="22">
        <v>46177.735497685186</v>
      </c>
      <c r="I187" s="22">
        <v>46177.735497685186</v>
      </c>
    </row>
    <row r="188" ht="22.5" customHeight="1">
      <c r="A188" s="18">
        <v>187.0</v>
      </c>
      <c r="B188" s="19" t="s">
        <v>422</v>
      </c>
      <c r="C188" s="18">
        <v>68.0</v>
      </c>
      <c r="D188" s="20" t="s">
        <v>767</v>
      </c>
      <c r="E188" s="21" t="s">
        <v>768</v>
      </c>
      <c r="F188" s="21" t="s">
        <v>769</v>
      </c>
      <c r="G188" s="21" t="s">
        <v>770</v>
      </c>
      <c r="H188" s="22">
        <v>46177.735497685186</v>
      </c>
      <c r="I188" s="22">
        <v>46177.735497685186</v>
      </c>
    </row>
    <row r="189" ht="22.5" customHeight="1">
      <c r="A189" s="18">
        <v>188.0</v>
      </c>
      <c r="B189" s="19" t="s">
        <v>422</v>
      </c>
      <c r="C189" s="18">
        <v>69.0</v>
      </c>
      <c r="D189" s="20" t="s">
        <v>771</v>
      </c>
      <c r="E189" s="21" t="s">
        <v>772</v>
      </c>
      <c r="F189" s="21" t="s">
        <v>773</v>
      </c>
      <c r="G189" s="21" t="s">
        <v>774</v>
      </c>
      <c r="H189" s="22">
        <v>46177.735497685186</v>
      </c>
      <c r="I189" s="22">
        <v>46177.735497685186</v>
      </c>
    </row>
    <row r="190" ht="22.5" customHeight="1">
      <c r="A190" s="18">
        <v>189.0</v>
      </c>
      <c r="B190" s="19" t="s">
        <v>422</v>
      </c>
      <c r="C190" s="18">
        <v>84.0</v>
      </c>
      <c r="D190" s="20" t="s">
        <v>775</v>
      </c>
      <c r="E190" s="21" t="s">
        <v>776</v>
      </c>
      <c r="F190" s="21" t="s">
        <v>777</v>
      </c>
      <c r="G190" s="21" t="s">
        <v>778</v>
      </c>
      <c r="H190" s="22">
        <v>46177.73550925926</v>
      </c>
      <c r="I190" s="22">
        <v>46177.73550925926</v>
      </c>
    </row>
    <row r="191" ht="22.5" customHeight="1">
      <c r="A191" s="18">
        <v>190.0</v>
      </c>
      <c r="B191" s="19" t="s">
        <v>422</v>
      </c>
      <c r="C191" s="18">
        <v>86.0</v>
      </c>
      <c r="D191" s="20" t="s">
        <v>779</v>
      </c>
      <c r="E191" s="21" t="s">
        <v>780</v>
      </c>
      <c r="F191" s="21" t="s">
        <v>781</v>
      </c>
      <c r="G191" s="21" t="s">
        <v>782</v>
      </c>
      <c r="H191" s="22">
        <v>46177.73550925926</v>
      </c>
      <c r="I191" s="22">
        <v>46177.73550925926</v>
      </c>
    </row>
    <row r="192" ht="22.5" customHeight="1">
      <c r="A192" s="18">
        <v>191.0</v>
      </c>
      <c r="B192" s="19" t="s">
        <v>422</v>
      </c>
      <c r="C192" s="18">
        <v>72.0</v>
      </c>
      <c r="D192" s="20" t="s">
        <v>783</v>
      </c>
      <c r="E192" s="21" t="s">
        <v>784</v>
      </c>
      <c r="F192" s="21" t="s">
        <v>785</v>
      </c>
      <c r="G192" s="21" t="s">
        <v>786</v>
      </c>
      <c r="H192" s="22">
        <v>46177.73552083333</v>
      </c>
      <c r="I192" s="22">
        <v>46177.73552083333</v>
      </c>
    </row>
    <row r="193" ht="22.5" customHeight="1">
      <c r="A193" s="18">
        <v>192.0</v>
      </c>
      <c r="B193" s="19" t="s">
        <v>422</v>
      </c>
      <c r="C193" s="18">
        <v>78.0</v>
      </c>
      <c r="D193" s="20" t="s">
        <v>787</v>
      </c>
      <c r="E193" s="21" t="s">
        <v>788</v>
      </c>
      <c r="F193" s="21" t="s">
        <v>789</v>
      </c>
      <c r="G193" s="21" t="s">
        <v>790</v>
      </c>
      <c r="H193" s="22">
        <v>46177.73552083333</v>
      </c>
      <c r="I193" s="22">
        <v>46177.73552083333</v>
      </c>
    </row>
    <row r="194" ht="22.5" customHeight="1">
      <c r="A194" s="18">
        <v>193.0</v>
      </c>
      <c r="B194" s="19" t="s">
        <v>422</v>
      </c>
      <c r="C194" s="18">
        <v>66.0</v>
      </c>
      <c r="D194" s="20" t="s">
        <v>791</v>
      </c>
      <c r="E194" s="21" t="s">
        <v>792</v>
      </c>
      <c r="F194" s="21" t="s">
        <v>793</v>
      </c>
      <c r="G194" s="21" t="s">
        <v>794</v>
      </c>
      <c r="H194" s="22">
        <v>46177.73552083333</v>
      </c>
      <c r="I194" s="22">
        <v>46177.73552083333</v>
      </c>
    </row>
    <row r="195" ht="22.5" customHeight="1">
      <c r="A195" s="18">
        <v>194.0</v>
      </c>
      <c r="B195" s="19" t="s">
        <v>422</v>
      </c>
      <c r="C195" s="18">
        <v>83.0</v>
      </c>
      <c r="D195" s="20" t="s">
        <v>795</v>
      </c>
      <c r="E195" s="21" t="s">
        <v>796</v>
      </c>
      <c r="F195" s="21" t="s">
        <v>797</v>
      </c>
      <c r="G195" s="21" t="s">
        <v>798</v>
      </c>
      <c r="H195" s="22">
        <v>46177.73553240741</v>
      </c>
      <c r="I195" s="22">
        <v>46177.73553240741</v>
      </c>
    </row>
    <row r="196" ht="22.5" customHeight="1">
      <c r="A196" s="18">
        <v>195.0</v>
      </c>
      <c r="B196" s="19" t="s">
        <v>422</v>
      </c>
      <c r="C196" s="18">
        <v>93.0</v>
      </c>
      <c r="D196" s="20" t="s">
        <v>799</v>
      </c>
      <c r="E196" s="21" t="s">
        <v>800</v>
      </c>
      <c r="F196" s="21" t="s">
        <v>801</v>
      </c>
      <c r="G196" s="21" t="s">
        <v>802</v>
      </c>
      <c r="H196" s="22">
        <v>46177.73553240741</v>
      </c>
      <c r="I196" s="22">
        <v>46177.73553240741</v>
      </c>
    </row>
    <row r="197" ht="22.5" customHeight="1">
      <c r="A197" s="18">
        <v>196.0</v>
      </c>
      <c r="B197" s="19" t="s">
        <v>422</v>
      </c>
      <c r="C197" s="18">
        <v>97.0</v>
      </c>
      <c r="D197" s="20" t="s">
        <v>803</v>
      </c>
      <c r="E197" s="21" t="s">
        <v>804</v>
      </c>
      <c r="F197" s="21" t="s">
        <v>805</v>
      </c>
      <c r="G197" s="21" t="s">
        <v>806</v>
      </c>
      <c r="H197" s="22">
        <v>46177.73554398148</v>
      </c>
      <c r="I197" s="22">
        <v>46177.73554398148</v>
      </c>
    </row>
    <row r="198" ht="22.5" customHeight="1">
      <c r="A198" s="18">
        <v>197.0</v>
      </c>
      <c r="B198" s="19" t="s">
        <v>422</v>
      </c>
      <c r="C198" s="18">
        <v>77.0</v>
      </c>
      <c r="D198" s="20" t="s">
        <v>807</v>
      </c>
      <c r="E198" s="21" t="s">
        <v>808</v>
      </c>
      <c r="F198" s="21" t="s">
        <v>809</v>
      </c>
      <c r="G198" s="21" t="s">
        <v>810</v>
      </c>
      <c r="H198" s="22">
        <v>46177.73554398148</v>
      </c>
      <c r="I198" s="22">
        <v>46177.73554398148</v>
      </c>
    </row>
    <row r="199" ht="22.5" customHeight="1">
      <c r="A199" s="18">
        <v>198.0</v>
      </c>
      <c r="B199" s="19" t="s">
        <v>422</v>
      </c>
      <c r="C199" s="18">
        <v>81.0</v>
      </c>
      <c r="D199" s="20" t="s">
        <v>811</v>
      </c>
      <c r="E199" s="21" t="s">
        <v>812</v>
      </c>
      <c r="F199" s="21" t="s">
        <v>813</v>
      </c>
      <c r="G199" s="21" t="s">
        <v>814</v>
      </c>
      <c r="H199" s="22">
        <v>46177.73554398148</v>
      </c>
      <c r="I199" s="22">
        <v>46177.73554398148</v>
      </c>
    </row>
    <row r="200" ht="22.5" customHeight="1">
      <c r="A200" s="18">
        <v>199.0</v>
      </c>
      <c r="B200" s="19" t="s">
        <v>422</v>
      </c>
      <c r="C200" s="18">
        <v>88.0</v>
      </c>
      <c r="D200" s="20" t="s">
        <v>815</v>
      </c>
      <c r="E200" s="21" t="s">
        <v>816</v>
      </c>
      <c r="F200" s="21" t="s">
        <v>817</v>
      </c>
      <c r="G200" s="21" t="s">
        <v>818</v>
      </c>
      <c r="H200" s="22">
        <v>46177.735555555555</v>
      </c>
      <c r="I200" s="22">
        <v>46177.735555555555</v>
      </c>
    </row>
    <row r="201" ht="22.5" customHeight="1">
      <c r="A201" s="18">
        <v>200.0</v>
      </c>
      <c r="B201" s="19" t="s">
        <v>422</v>
      </c>
      <c r="C201" s="18">
        <v>91.0</v>
      </c>
      <c r="D201" s="20" t="s">
        <v>819</v>
      </c>
      <c r="E201" s="21" t="s">
        <v>820</v>
      </c>
      <c r="F201" s="21" t="s">
        <v>821</v>
      </c>
      <c r="G201" s="21" t="s">
        <v>822</v>
      </c>
      <c r="H201" s="22">
        <v>46177.735555555555</v>
      </c>
      <c r="I201" s="22">
        <v>46177.735555555555</v>
      </c>
    </row>
  </sheetData>
  <dataValidations>
    <dataValidation type="list" allowBlank="1" sqref="B2:B201">
      <formula1>"fifo,standard"</formula1>
    </dataValidation>
    <dataValidation type="custom" allowBlank="1" showDropDown="1" sqref="H2:I201">
      <formula1>OR(NOT(ISERROR(DATEVALUE(H2))), AND(ISNUMBER(H2), LEFT(CELL("format", H2))="D"))</formula1>
    </dataValidation>
    <dataValidation type="custom" allowBlank="1" showDropDown="1" sqref="A2:A201 C2:C201">
      <formula1>AND(ISNUMBER(A2),(NOT(OR(NOT(ISERROR(DATEVALUE(A2))), AND(ISNUMBER(A2), LEFT(CELL("format", A2))="D")))))</formula1>
    </dataValidation>
    <dataValidation allowBlank="1" showDropDown="1" sqref="E2:G201"/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88"/>
    <col customWidth="1" min="2" max="2" width="19.75"/>
    <col customWidth="1" min="3" max="3" width="37.13"/>
    <col customWidth="1" min="4" max="4" width="24.5"/>
    <col customWidth="1" min="5" max="26" width="7.63"/>
  </cols>
  <sheetData>
    <row r="1" ht="22.5" customHeight="1">
      <c r="A1" s="23" t="s">
        <v>1</v>
      </c>
      <c r="B1" s="23" t="s">
        <v>823</v>
      </c>
      <c r="C1" s="23" t="s">
        <v>824</v>
      </c>
      <c r="D1" s="23" t="s">
        <v>825</v>
      </c>
    </row>
    <row r="2" ht="22.5" customHeight="1">
      <c r="A2" s="24" t="s">
        <v>21</v>
      </c>
      <c r="B2" s="25">
        <v>1.0</v>
      </c>
      <c r="C2" s="8" t="s">
        <v>22</v>
      </c>
      <c r="D2" s="26">
        <v>46177.733715277776</v>
      </c>
    </row>
    <row r="3" ht="22.5" customHeight="1">
      <c r="A3" s="24" t="s">
        <v>21</v>
      </c>
      <c r="B3" s="25">
        <v>2.0</v>
      </c>
      <c r="C3" s="8" t="s">
        <v>26</v>
      </c>
      <c r="D3" s="26">
        <v>46177.733715277776</v>
      </c>
    </row>
    <row r="4" ht="22.5" customHeight="1">
      <c r="A4" s="24" t="s">
        <v>21</v>
      </c>
      <c r="B4" s="25">
        <v>3.0</v>
      </c>
      <c r="C4" s="8" t="s">
        <v>30</v>
      </c>
      <c r="D4" s="26">
        <v>46177.733715277776</v>
      </c>
    </row>
    <row r="5" ht="22.5" customHeight="1">
      <c r="A5" s="24" t="s">
        <v>21</v>
      </c>
      <c r="B5" s="25">
        <v>4.0</v>
      </c>
      <c r="C5" s="8" t="s">
        <v>34</v>
      </c>
      <c r="D5" s="26">
        <v>46177.73372685185</v>
      </c>
    </row>
    <row r="6" ht="22.5" customHeight="1">
      <c r="A6" s="24" t="s">
        <v>21</v>
      </c>
      <c r="B6" s="25">
        <v>5.0</v>
      </c>
      <c r="C6" s="8" t="s">
        <v>38</v>
      </c>
      <c r="D6" s="26">
        <v>46177.73372685185</v>
      </c>
    </row>
    <row r="7" ht="22.5" customHeight="1">
      <c r="A7" s="24" t="s">
        <v>21</v>
      </c>
      <c r="B7" s="25">
        <v>6.0</v>
      </c>
      <c r="C7" s="8" t="s">
        <v>42</v>
      </c>
      <c r="D7" s="26">
        <v>46177.73372685185</v>
      </c>
    </row>
    <row r="8" ht="22.5" customHeight="1">
      <c r="A8" s="24" t="s">
        <v>21</v>
      </c>
      <c r="B8" s="25">
        <v>7.0</v>
      </c>
      <c r="C8" s="8" t="s">
        <v>46</v>
      </c>
      <c r="D8" s="26">
        <v>46177.73373842592</v>
      </c>
    </row>
    <row r="9" ht="22.5" customHeight="1">
      <c r="A9" s="24" t="s">
        <v>21</v>
      </c>
      <c r="B9" s="25">
        <v>8.0</v>
      </c>
      <c r="C9" s="8" t="s">
        <v>50</v>
      </c>
      <c r="D9" s="26">
        <v>46177.73373842592</v>
      </c>
    </row>
    <row r="10" ht="22.5" customHeight="1">
      <c r="A10" s="24" t="s">
        <v>21</v>
      </c>
      <c r="B10" s="25">
        <v>9.0</v>
      </c>
      <c r="C10" s="8" t="s">
        <v>54</v>
      </c>
      <c r="D10" s="26">
        <v>46177.73373842592</v>
      </c>
    </row>
    <row r="11" ht="22.5" customHeight="1">
      <c r="A11" s="24" t="s">
        <v>21</v>
      </c>
      <c r="B11" s="25">
        <v>10.0</v>
      </c>
      <c r="C11" s="8" t="s">
        <v>58</v>
      </c>
      <c r="D11" s="26">
        <v>46177.73375</v>
      </c>
    </row>
    <row r="12" ht="22.5" customHeight="1">
      <c r="A12" s="24" t="s">
        <v>21</v>
      </c>
      <c r="B12" s="25">
        <v>11.0</v>
      </c>
      <c r="C12" s="8" t="s">
        <v>62</v>
      </c>
      <c r="D12" s="26">
        <v>46177.73375</v>
      </c>
    </row>
    <row r="13" ht="22.5" customHeight="1">
      <c r="A13" s="24" t="s">
        <v>21</v>
      </c>
      <c r="B13" s="25">
        <v>12.0</v>
      </c>
      <c r="C13" s="8" t="s">
        <v>66</v>
      </c>
      <c r="D13" s="26">
        <v>46177.73375</v>
      </c>
    </row>
    <row r="14" ht="22.5" customHeight="1">
      <c r="A14" s="24" t="s">
        <v>21</v>
      </c>
      <c r="B14" s="25">
        <v>13.0</v>
      </c>
      <c r="C14" s="8" t="s">
        <v>70</v>
      </c>
      <c r="D14" s="26">
        <v>46177.733761574076</v>
      </c>
    </row>
    <row r="15" ht="22.5" customHeight="1">
      <c r="A15" s="24" t="s">
        <v>21</v>
      </c>
      <c r="B15" s="25">
        <v>14.0</v>
      </c>
      <c r="C15" s="8" t="s">
        <v>74</v>
      </c>
      <c r="D15" s="26">
        <v>46177.733761574076</v>
      </c>
    </row>
    <row r="16" ht="22.5" customHeight="1">
      <c r="A16" s="24" t="s">
        <v>21</v>
      </c>
      <c r="B16" s="25">
        <v>15.0</v>
      </c>
      <c r="C16" s="8" t="s">
        <v>78</v>
      </c>
      <c r="D16" s="26">
        <v>46177.733773148146</v>
      </c>
    </row>
    <row r="17" ht="22.5" customHeight="1">
      <c r="A17" s="24" t="s">
        <v>21</v>
      </c>
      <c r="B17" s="25">
        <v>16.0</v>
      </c>
      <c r="C17" s="8" t="s">
        <v>82</v>
      </c>
      <c r="D17" s="26">
        <v>46177.733773148146</v>
      </c>
    </row>
    <row r="18" ht="22.5" customHeight="1">
      <c r="A18" s="24" t="s">
        <v>21</v>
      </c>
      <c r="B18" s="25">
        <v>17.0</v>
      </c>
      <c r="C18" s="8" t="s">
        <v>86</v>
      </c>
      <c r="D18" s="26">
        <v>46177.733773148146</v>
      </c>
    </row>
    <row r="19" ht="22.5" customHeight="1">
      <c r="A19" s="24" t="s">
        <v>21</v>
      </c>
      <c r="B19" s="25">
        <v>18.0</v>
      </c>
      <c r="C19" s="8" t="s">
        <v>90</v>
      </c>
      <c r="D19" s="26">
        <v>46177.73378472222</v>
      </c>
    </row>
    <row r="20" ht="22.5" customHeight="1">
      <c r="A20" s="24" t="s">
        <v>21</v>
      </c>
      <c r="B20" s="25">
        <v>19.0</v>
      </c>
      <c r="C20" s="8" t="s">
        <v>94</v>
      </c>
      <c r="D20" s="26">
        <v>46177.7337962963</v>
      </c>
    </row>
    <row r="21" ht="15.75" customHeight="1">
      <c r="A21" s="24" t="s">
        <v>21</v>
      </c>
      <c r="B21" s="25">
        <v>20.0</v>
      </c>
      <c r="C21" s="8" t="s">
        <v>98</v>
      </c>
      <c r="D21" s="26">
        <v>46177.7337962963</v>
      </c>
    </row>
    <row r="22" ht="15.75" customHeight="1">
      <c r="A22" s="24" t="s">
        <v>21</v>
      </c>
      <c r="B22" s="25">
        <v>21.0</v>
      </c>
      <c r="C22" s="8" t="s">
        <v>102</v>
      </c>
      <c r="D22" s="26">
        <v>46177.7337962963</v>
      </c>
    </row>
    <row r="23" ht="15.75" customHeight="1">
      <c r="A23" s="24" t="s">
        <v>21</v>
      </c>
      <c r="B23" s="25">
        <v>22.0</v>
      </c>
      <c r="C23" s="8" t="s">
        <v>106</v>
      </c>
      <c r="D23" s="26">
        <v>46177.73380787037</v>
      </c>
    </row>
    <row r="24" ht="15.75" customHeight="1">
      <c r="A24" s="24" t="s">
        <v>21</v>
      </c>
      <c r="B24" s="25">
        <v>23.0</v>
      </c>
      <c r="C24" s="8" t="s">
        <v>110</v>
      </c>
      <c r="D24" s="26">
        <v>46177.73380787037</v>
      </c>
    </row>
    <row r="25" ht="15.75" customHeight="1">
      <c r="A25" s="24" t="s">
        <v>21</v>
      </c>
      <c r="B25" s="25">
        <v>24.0</v>
      </c>
      <c r="C25" s="8" t="s">
        <v>114</v>
      </c>
      <c r="D25" s="26">
        <v>46177.73380787037</v>
      </c>
    </row>
    <row r="26" ht="15.75" customHeight="1">
      <c r="A26" s="24" t="s">
        <v>21</v>
      </c>
      <c r="B26" s="25">
        <v>25.0</v>
      </c>
      <c r="C26" s="8" t="s">
        <v>118</v>
      </c>
      <c r="D26" s="26">
        <v>46177.733819444446</v>
      </c>
    </row>
    <row r="27" ht="15.75" customHeight="1">
      <c r="A27" s="24" t="s">
        <v>21</v>
      </c>
      <c r="B27" s="25">
        <v>26.0</v>
      </c>
      <c r="C27" s="8" t="s">
        <v>122</v>
      </c>
      <c r="D27" s="26">
        <v>46177.733819444446</v>
      </c>
    </row>
    <row r="28" ht="15.75" customHeight="1">
      <c r="A28" s="24" t="s">
        <v>21</v>
      </c>
      <c r="B28" s="25">
        <v>27.0</v>
      </c>
      <c r="C28" s="8" t="s">
        <v>126</v>
      </c>
      <c r="D28" s="26">
        <v>46177.733819444446</v>
      </c>
    </row>
    <row r="29" ht="15.75" customHeight="1">
      <c r="A29" s="24" t="s">
        <v>21</v>
      </c>
      <c r="B29" s="25">
        <v>28.0</v>
      </c>
      <c r="C29" s="8" t="s">
        <v>130</v>
      </c>
      <c r="D29" s="26">
        <v>46177.733831018515</v>
      </c>
    </row>
    <row r="30" ht="15.75" customHeight="1">
      <c r="A30" s="24" t="s">
        <v>21</v>
      </c>
      <c r="B30" s="25">
        <v>29.0</v>
      </c>
      <c r="C30" s="8" t="s">
        <v>134</v>
      </c>
      <c r="D30" s="26">
        <v>46177.733831018515</v>
      </c>
    </row>
    <row r="31" ht="15.75" customHeight="1">
      <c r="A31" s="24" t="s">
        <v>21</v>
      </c>
      <c r="B31" s="25">
        <v>30.0</v>
      </c>
      <c r="C31" s="8" t="s">
        <v>138</v>
      </c>
      <c r="D31" s="26">
        <v>46177.733831018515</v>
      </c>
    </row>
    <row r="32" ht="15.75" customHeight="1">
      <c r="A32" s="24" t="s">
        <v>21</v>
      </c>
      <c r="B32" s="25">
        <v>31.0</v>
      </c>
      <c r="C32" s="8" t="s">
        <v>142</v>
      </c>
      <c r="D32" s="26">
        <v>46177.73384259259</v>
      </c>
    </row>
    <row r="33" ht="15.75" customHeight="1">
      <c r="A33" s="24" t="s">
        <v>21</v>
      </c>
      <c r="B33" s="25">
        <v>32.0</v>
      </c>
      <c r="C33" s="8" t="s">
        <v>146</v>
      </c>
      <c r="D33" s="26">
        <v>46177.73384259259</v>
      </c>
    </row>
    <row r="34" ht="15.75" customHeight="1">
      <c r="A34" s="24" t="s">
        <v>21</v>
      </c>
      <c r="B34" s="25">
        <v>33.0</v>
      </c>
      <c r="C34" s="8" t="s">
        <v>150</v>
      </c>
      <c r="D34" s="26">
        <v>46177.73385416667</v>
      </c>
    </row>
    <row r="35" ht="15.75" customHeight="1">
      <c r="A35" s="24" t="s">
        <v>21</v>
      </c>
      <c r="B35" s="25">
        <v>34.0</v>
      </c>
      <c r="C35" s="8" t="s">
        <v>154</v>
      </c>
      <c r="D35" s="26">
        <v>46177.73385416667</v>
      </c>
    </row>
    <row r="36" ht="15.75" customHeight="1">
      <c r="A36" s="24" t="s">
        <v>21</v>
      </c>
      <c r="B36" s="25">
        <v>35.0</v>
      </c>
      <c r="C36" s="8" t="s">
        <v>158</v>
      </c>
      <c r="D36" s="26">
        <v>46177.73385416667</v>
      </c>
    </row>
    <row r="37" ht="15.75" customHeight="1">
      <c r="A37" s="24" t="s">
        <v>21</v>
      </c>
      <c r="B37" s="25">
        <v>36.0</v>
      </c>
      <c r="C37" s="8" t="s">
        <v>162</v>
      </c>
      <c r="D37" s="26">
        <v>46177.73386574074</v>
      </c>
    </row>
    <row r="38" ht="15.75" customHeight="1">
      <c r="A38" s="24" t="s">
        <v>21</v>
      </c>
      <c r="B38" s="25">
        <v>37.0</v>
      </c>
      <c r="C38" s="8" t="s">
        <v>166</v>
      </c>
      <c r="D38" s="26">
        <v>46177.73386574074</v>
      </c>
    </row>
    <row r="39" ht="15.75" customHeight="1">
      <c r="A39" s="24" t="s">
        <v>21</v>
      </c>
      <c r="B39" s="25">
        <v>38.0</v>
      </c>
      <c r="C39" s="8" t="s">
        <v>170</v>
      </c>
      <c r="D39" s="26">
        <v>46177.73386574074</v>
      </c>
    </row>
    <row r="40" ht="15.75" customHeight="1">
      <c r="A40" s="24" t="s">
        <v>21</v>
      </c>
      <c r="B40" s="25">
        <v>39.0</v>
      </c>
      <c r="C40" s="8" t="s">
        <v>174</v>
      </c>
      <c r="D40" s="26">
        <v>46177.733877314815</v>
      </c>
    </row>
    <row r="41" ht="15.75" customHeight="1">
      <c r="A41" s="24" t="s">
        <v>21</v>
      </c>
      <c r="B41" s="25">
        <v>40.0</v>
      </c>
      <c r="C41" s="8" t="s">
        <v>178</v>
      </c>
      <c r="D41" s="26">
        <v>46177.733877314815</v>
      </c>
    </row>
    <row r="42" ht="15.75" customHeight="1">
      <c r="A42" s="24" t="s">
        <v>21</v>
      </c>
      <c r="B42" s="25">
        <v>41.0</v>
      </c>
      <c r="C42" s="8" t="s">
        <v>182</v>
      </c>
      <c r="D42" s="26">
        <v>46177.73388888889</v>
      </c>
    </row>
    <row r="43" ht="15.75" customHeight="1">
      <c r="A43" s="24" t="s">
        <v>21</v>
      </c>
      <c r="B43" s="25">
        <v>42.0</v>
      </c>
      <c r="C43" s="8" t="s">
        <v>186</v>
      </c>
      <c r="D43" s="26">
        <v>46177.73388888889</v>
      </c>
    </row>
    <row r="44" ht="15.75" customHeight="1">
      <c r="A44" s="24" t="s">
        <v>21</v>
      </c>
      <c r="B44" s="25">
        <v>43.0</v>
      </c>
      <c r="C44" s="8" t="s">
        <v>190</v>
      </c>
      <c r="D44" s="26">
        <v>46177.73388888889</v>
      </c>
    </row>
    <row r="45" ht="15.75" customHeight="1">
      <c r="A45" s="24" t="s">
        <v>21</v>
      </c>
      <c r="B45" s="25">
        <v>44.0</v>
      </c>
      <c r="C45" s="8" t="s">
        <v>194</v>
      </c>
      <c r="D45" s="26">
        <v>46177.73390046296</v>
      </c>
    </row>
    <row r="46" ht="15.75" customHeight="1">
      <c r="A46" s="24" t="s">
        <v>21</v>
      </c>
      <c r="B46" s="25">
        <v>45.0</v>
      </c>
      <c r="C46" s="8" t="s">
        <v>198</v>
      </c>
      <c r="D46" s="26">
        <v>46177.73390046296</v>
      </c>
    </row>
    <row r="47" ht="15.75" customHeight="1">
      <c r="A47" s="24" t="s">
        <v>21</v>
      </c>
      <c r="B47" s="25">
        <v>46.0</v>
      </c>
      <c r="C47" s="8" t="s">
        <v>202</v>
      </c>
      <c r="D47" s="26">
        <v>46177.73390046296</v>
      </c>
    </row>
    <row r="48" ht="15.75" customHeight="1">
      <c r="A48" s="24" t="s">
        <v>21</v>
      </c>
      <c r="B48" s="25">
        <v>47.0</v>
      </c>
      <c r="C48" s="8" t="s">
        <v>206</v>
      </c>
      <c r="D48" s="26">
        <v>46177.73391203704</v>
      </c>
    </row>
    <row r="49" ht="15.75" customHeight="1">
      <c r="A49" s="24" t="s">
        <v>21</v>
      </c>
      <c r="B49" s="25">
        <v>48.0</v>
      </c>
      <c r="C49" s="8" t="s">
        <v>210</v>
      </c>
      <c r="D49" s="26">
        <v>46177.73391203704</v>
      </c>
    </row>
    <row r="50" ht="15.75" customHeight="1">
      <c r="A50" s="24" t="s">
        <v>21</v>
      </c>
      <c r="B50" s="25">
        <v>49.0</v>
      </c>
      <c r="C50" s="8" t="s">
        <v>214</v>
      </c>
      <c r="D50" s="26">
        <v>46177.733923611115</v>
      </c>
    </row>
    <row r="51" ht="15.75" customHeight="1">
      <c r="A51" s="24" t="s">
        <v>21</v>
      </c>
      <c r="B51" s="25">
        <v>50.0</v>
      </c>
      <c r="C51" s="8" t="s">
        <v>218</v>
      </c>
      <c r="D51" s="26">
        <v>46177.733923611115</v>
      </c>
    </row>
    <row r="52" ht="15.75" customHeight="1">
      <c r="A52" s="24" t="s">
        <v>21</v>
      </c>
      <c r="B52" s="25">
        <v>51.0</v>
      </c>
      <c r="C52" s="8" t="s">
        <v>222</v>
      </c>
      <c r="D52" s="26">
        <v>46177.733923611115</v>
      </c>
    </row>
    <row r="53" ht="15.75" customHeight="1">
      <c r="A53" s="24" t="s">
        <v>21</v>
      </c>
      <c r="B53" s="25">
        <v>52.0</v>
      </c>
      <c r="C53" s="8" t="s">
        <v>226</v>
      </c>
      <c r="D53" s="26">
        <v>46177.733935185184</v>
      </c>
    </row>
    <row r="54" ht="15.75" customHeight="1">
      <c r="A54" s="24" t="s">
        <v>21</v>
      </c>
      <c r="B54" s="25">
        <v>53.0</v>
      </c>
      <c r="C54" s="8" t="s">
        <v>230</v>
      </c>
      <c r="D54" s="26">
        <v>46177.733935185184</v>
      </c>
    </row>
    <row r="55" ht="15.75" customHeight="1">
      <c r="A55" s="24" t="s">
        <v>21</v>
      </c>
      <c r="B55" s="25">
        <v>54.0</v>
      </c>
      <c r="C55" s="8" t="s">
        <v>234</v>
      </c>
      <c r="D55" s="26">
        <v>46177.73394675926</v>
      </c>
    </row>
    <row r="56" ht="15.75" customHeight="1">
      <c r="A56" s="24" t="s">
        <v>21</v>
      </c>
      <c r="B56" s="25">
        <v>55.0</v>
      </c>
      <c r="C56" s="8" t="s">
        <v>238</v>
      </c>
      <c r="D56" s="26">
        <v>46177.73394675926</v>
      </c>
    </row>
    <row r="57" ht="15.75" customHeight="1">
      <c r="A57" s="24" t="s">
        <v>21</v>
      </c>
      <c r="B57" s="25">
        <v>56.0</v>
      </c>
      <c r="C57" s="8" t="s">
        <v>242</v>
      </c>
      <c r="D57" s="26">
        <v>46177.73394675926</v>
      </c>
    </row>
    <row r="58" ht="15.75" customHeight="1">
      <c r="A58" s="24" t="s">
        <v>21</v>
      </c>
      <c r="B58" s="25">
        <v>57.0</v>
      </c>
      <c r="C58" s="8" t="s">
        <v>246</v>
      </c>
      <c r="D58" s="26">
        <v>46177.73395833333</v>
      </c>
    </row>
    <row r="59" ht="15.75" customHeight="1">
      <c r="A59" s="24" t="s">
        <v>21</v>
      </c>
      <c r="B59" s="25">
        <v>58.0</v>
      </c>
      <c r="C59" s="8" t="s">
        <v>250</v>
      </c>
      <c r="D59" s="26">
        <v>46177.73396990741</v>
      </c>
    </row>
    <row r="60" ht="15.75" customHeight="1">
      <c r="A60" s="24" t="s">
        <v>21</v>
      </c>
      <c r="B60" s="25">
        <v>59.0</v>
      </c>
      <c r="C60" s="8" t="s">
        <v>254</v>
      </c>
      <c r="D60" s="26">
        <v>46177.73396990741</v>
      </c>
    </row>
    <row r="61" ht="15.75" customHeight="1">
      <c r="A61" s="24" t="s">
        <v>21</v>
      </c>
      <c r="B61" s="25">
        <v>60.0</v>
      </c>
      <c r="C61" s="8" t="s">
        <v>258</v>
      </c>
      <c r="D61" s="26">
        <v>46177.73396990741</v>
      </c>
    </row>
    <row r="62" ht="15.75" customHeight="1">
      <c r="A62" s="24" t="s">
        <v>21</v>
      </c>
      <c r="B62" s="25">
        <v>61.0</v>
      </c>
      <c r="C62" s="8" t="s">
        <v>262</v>
      </c>
      <c r="D62" s="26">
        <v>46177.733981481484</v>
      </c>
    </row>
    <row r="63" ht="15.75" customHeight="1">
      <c r="A63" s="24" t="s">
        <v>21</v>
      </c>
      <c r="B63" s="25">
        <v>62.0</v>
      </c>
      <c r="C63" s="8" t="s">
        <v>266</v>
      </c>
      <c r="D63" s="26">
        <v>46177.733981481484</v>
      </c>
    </row>
    <row r="64" ht="15.75" customHeight="1">
      <c r="A64" s="24" t="s">
        <v>21</v>
      </c>
      <c r="B64" s="25">
        <v>63.0</v>
      </c>
      <c r="C64" s="8" t="s">
        <v>270</v>
      </c>
      <c r="D64" s="26">
        <v>46177.73399305555</v>
      </c>
    </row>
    <row r="65" ht="15.75" customHeight="1">
      <c r="A65" s="24" t="s">
        <v>21</v>
      </c>
      <c r="B65" s="25">
        <v>64.0</v>
      </c>
      <c r="C65" s="8" t="s">
        <v>274</v>
      </c>
      <c r="D65" s="26">
        <v>46177.73399305555</v>
      </c>
    </row>
    <row r="66" ht="15.75" customHeight="1">
      <c r="A66" s="24" t="s">
        <v>21</v>
      </c>
      <c r="B66" s="25">
        <v>65.0</v>
      </c>
      <c r="C66" s="8" t="s">
        <v>278</v>
      </c>
      <c r="D66" s="26">
        <v>46177.73399305555</v>
      </c>
    </row>
    <row r="67" ht="15.75" customHeight="1">
      <c r="A67" s="24" t="s">
        <v>21</v>
      </c>
      <c r="B67" s="25">
        <v>66.0</v>
      </c>
      <c r="C67" s="8" t="s">
        <v>282</v>
      </c>
      <c r="D67" s="26">
        <v>46177.73400462963</v>
      </c>
    </row>
    <row r="68" ht="15.75" customHeight="1">
      <c r="A68" s="24" t="s">
        <v>21</v>
      </c>
      <c r="B68" s="25">
        <v>67.0</v>
      </c>
      <c r="C68" s="8" t="s">
        <v>286</v>
      </c>
      <c r="D68" s="26">
        <v>46177.73400462963</v>
      </c>
    </row>
    <row r="69" ht="15.75" customHeight="1">
      <c r="A69" s="24" t="s">
        <v>21</v>
      </c>
      <c r="B69" s="25">
        <v>68.0</v>
      </c>
      <c r="C69" s="8" t="s">
        <v>290</v>
      </c>
      <c r="D69" s="26">
        <v>46177.73401620371</v>
      </c>
    </row>
    <row r="70" ht="15.75" customHeight="1">
      <c r="A70" s="24" t="s">
        <v>21</v>
      </c>
      <c r="B70" s="25">
        <v>69.0</v>
      </c>
      <c r="C70" s="8" t="s">
        <v>294</v>
      </c>
      <c r="D70" s="26">
        <v>46177.73401620371</v>
      </c>
    </row>
    <row r="71" ht="15.75" customHeight="1">
      <c r="A71" s="24" t="s">
        <v>21</v>
      </c>
      <c r="B71" s="25">
        <v>70.0</v>
      </c>
      <c r="C71" s="8" t="s">
        <v>298</v>
      </c>
      <c r="D71" s="26">
        <v>46177.73401620371</v>
      </c>
    </row>
    <row r="72" ht="15.75" customHeight="1">
      <c r="A72" s="24" t="s">
        <v>21</v>
      </c>
      <c r="B72" s="25">
        <v>71.0</v>
      </c>
      <c r="C72" s="8" t="s">
        <v>302</v>
      </c>
      <c r="D72" s="26">
        <v>46177.73402777778</v>
      </c>
    </row>
    <row r="73" ht="15.75" customHeight="1">
      <c r="A73" s="24" t="s">
        <v>21</v>
      </c>
      <c r="B73" s="25">
        <v>72.0</v>
      </c>
      <c r="C73" s="8" t="s">
        <v>306</v>
      </c>
      <c r="D73" s="26">
        <v>46177.73402777778</v>
      </c>
    </row>
    <row r="74" ht="15.75" customHeight="1">
      <c r="A74" s="24" t="s">
        <v>21</v>
      </c>
      <c r="B74" s="25">
        <v>73.0</v>
      </c>
      <c r="C74" s="8" t="s">
        <v>310</v>
      </c>
      <c r="D74" s="26">
        <v>46177.73403935185</v>
      </c>
    </row>
    <row r="75" ht="15.75" customHeight="1">
      <c r="A75" s="24" t="s">
        <v>21</v>
      </c>
      <c r="B75" s="25">
        <v>74.0</v>
      </c>
      <c r="C75" s="8" t="s">
        <v>314</v>
      </c>
      <c r="D75" s="26">
        <v>46177.73403935185</v>
      </c>
    </row>
    <row r="76" ht="15.75" customHeight="1">
      <c r="A76" s="24" t="s">
        <v>21</v>
      </c>
      <c r="B76" s="25">
        <v>75.0</v>
      </c>
      <c r="C76" s="8" t="s">
        <v>318</v>
      </c>
      <c r="D76" s="26">
        <v>46177.73403935185</v>
      </c>
    </row>
    <row r="77" ht="15.75" customHeight="1">
      <c r="A77" s="24" t="s">
        <v>21</v>
      </c>
      <c r="B77" s="25">
        <v>76.0</v>
      </c>
      <c r="C77" s="8" t="s">
        <v>322</v>
      </c>
      <c r="D77" s="26">
        <v>46177.73405092592</v>
      </c>
    </row>
    <row r="78" ht="15.75" customHeight="1">
      <c r="A78" s="24" t="s">
        <v>21</v>
      </c>
      <c r="B78" s="25">
        <v>77.0</v>
      </c>
      <c r="C78" s="8" t="s">
        <v>326</v>
      </c>
      <c r="D78" s="26">
        <v>46177.73405092592</v>
      </c>
    </row>
    <row r="79" ht="15.75" customHeight="1">
      <c r="A79" s="24" t="s">
        <v>21</v>
      </c>
      <c r="B79" s="25">
        <v>78.0</v>
      </c>
      <c r="C79" s="8" t="s">
        <v>330</v>
      </c>
      <c r="D79" s="26">
        <v>46177.7340625</v>
      </c>
    </row>
    <row r="80" ht="15.75" customHeight="1">
      <c r="A80" s="24" t="s">
        <v>21</v>
      </c>
      <c r="B80" s="25">
        <v>79.0</v>
      </c>
      <c r="C80" s="8" t="s">
        <v>334</v>
      </c>
      <c r="D80" s="26">
        <v>46177.7340625</v>
      </c>
    </row>
    <row r="81" ht="15.75" customHeight="1">
      <c r="A81" s="24" t="s">
        <v>21</v>
      </c>
      <c r="B81" s="25">
        <v>80.0</v>
      </c>
      <c r="C81" s="8" t="s">
        <v>338</v>
      </c>
      <c r="D81" s="26">
        <v>46177.7340625</v>
      </c>
    </row>
    <row r="82" ht="15.75" customHeight="1">
      <c r="A82" s="24" t="s">
        <v>21</v>
      </c>
      <c r="B82" s="25">
        <v>81.0</v>
      </c>
      <c r="C82" s="8" t="s">
        <v>342</v>
      </c>
      <c r="D82" s="26">
        <v>46177.73407407408</v>
      </c>
    </row>
    <row r="83" ht="15.75" customHeight="1">
      <c r="A83" s="24" t="s">
        <v>21</v>
      </c>
      <c r="B83" s="25">
        <v>82.0</v>
      </c>
      <c r="C83" s="8" t="s">
        <v>346</v>
      </c>
      <c r="D83" s="26">
        <v>46177.73407407408</v>
      </c>
    </row>
    <row r="84" ht="15.75" customHeight="1">
      <c r="A84" s="24" t="s">
        <v>21</v>
      </c>
      <c r="B84" s="25">
        <v>83.0</v>
      </c>
      <c r="C84" s="8" t="s">
        <v>350</v>
      </c>
      <c r="D84" s="26">
        <v>46177.734085648146</v>
      </c>
    </row>
    <row r="85" ht="15.75" customHeight="1">
      <c r="A85" s="24" t="s">
        <v>21</v>
      </c>
      <c r="B85" s="25">
        <v>84.0</v>
      </c>
      <c r="C85" s="8" t="s">
        <v>354</v>
      </c>
      <c r="D85" s="26">
        <v>46177.734085648146</v>
      </c>
    </row>
    <row r="86" ht="15.75" customHeight="1">
      <c r="A86" s="24" t="s">
        <v>21</v>
      </c>
      <c r="B86" s="25">
        <v>85.0</v>
      </c>
      <c r="C86" s="8" t="s">
        <v>358</v>
      </c>
      <c r="D86" s="26">
        <v>46177.734085648146</v>
      </c>
    </row>
    <row r="87" ht="15.75" customHeight="1">
      <c r="A87" s="24" t="s">
        <v>21</v>
      </c>
      <c r="B87" s="25">
        <v>86.0</v>
      </c>
      <c r="C87" s="8" t="s">
        <v>362</v>
      </c>
      <c r="D87" s="26">
        <v>46177.73409722222</v>
      </c>
    </row>
    <row r="88" ht="15.75" customHeight="1">
      <c r="A88" s="24" t="s">
        <v>21</v>
      </c>
      <c r="B88" s="25">
        <v>87.0</v>
      </c>
      <c r="C88" s="8" t="s">
        <v>366</v>
      </c>
      <c r="D88" s="26">
        <v>46177.73409722222</v>
      </c>
    </row>
    <row r="89" ht="15.75" customHeight="1">
      <c r="A89" s="24" t="s">
        <v>21</v>
      </c>
      <c r="B89" s="25">
        <v>88.0</v>
      </c>
      <c r="C89" s="8" t="s">
        <v>370</v>
      </c>
      <c r="D89" s="26">
        <v>46177.7341087963</v>
      </c>
    </row>
    <row r="90" ht="15.75" customHeight="1">
      <c r="A90" s="24" t="s">
        <v>21</v>
      </c>
      <c r="B90" s="25">
        <v>89.0</v>
      </c>
      <c r="C90" s="8" t="s">
        <v>374</v>
      </c>
      <c r="D90" s="26">
        <v>46177.7341087963</v>
      </c>
    </row>
    <row r="91" ht="15.75" customHeight="1">
      <c r="A91" s="24" t="s">
        <v>21</v>
      </c>
      <c r="B91" s="25">
        <v>90.0</v>
      </c>
      <c r="C91" s="8" t="s">
        <v>378</v>
      </c>
      <c r="D91" s="26">
        <v>46177.7341087963</v>
      </c>
    </row>
    <row r="92" ht="15.75" customHeight="1">
      <c r="A92" s="24" t="s">
        <v>21</v>
      </c>
      <c r="B92" s="25">
        <v>91.0</v>
      </c>
      <c r="C92" s="8" t="s">
        <v>382</v>
      </c>
      <c r="D92" s="26">
        <v>46177.73412037037</v>
      </c>
    </row>
    <row r="93" ht="15.75" customHeight="1">
      <c r="A93" s="24" t="s">
        <v>21</v>
      </c>
      <c r="B93" s="25">
        <v>92.0</v>
      </c>
      <c r="C93" s="8" t="s">
        <v>386</v>
      </c>
      <c r="D93" s="26">
        <v>46177.73412037037</v>
      </c>
    </row>
    <row r="94" ht="15.75" customHeight="1">
      <c r="A94" s="24" t="s">
        <v>21</v>
      </c>
      <c r="B94" s="25">
        <v>93.0</v>
      </c>
      <c r="C94" s="8" t="s">
        <v>390</v>
      </c>
      <c r="D94" s="26">
        <v>46177.73412037037</v>
      </c>
    </row>
    <row r="95" ht="15.75" customHeight="1">
      <c r="A95" s="24" t="s">
        <v>21</v>
      </c>
      <c r="B95" s="25">
        <v>94.0</v>
      </c>
      <c r="C95" s="8" t="s">
        <v>394</v>
      </c>
      <c r="D95" s="26">
        <v>46177.734131944446</v>
      </c>
    </row>
    <row r="96" ht="15.75" customHeight="1">
      <c r="A96" s="24" t="s">
        <v>21</v>
      </c>
      <c r="B96" s="25">
        <v>95.0</v>
      </c>
      <c r="C96" s="8" t="s">
        <v>398</v>
      </c>
      <c r="D96" s="26">
        <v>46177.734131944446</v>
      </c>
    </row>
    <row r="97" ht="15.75" customHeight="1">
      <c r="A97" s="24" t="s">
        <v>21</v>
      </c>
      <c r="B97" s="25">
        <v>96.0</v>
      </c>
      <c r="C97" s="8" t="s">
        <v>402</v>
      </c>
      <c r="D97" s="26">
        <v>46177.734131944446</v>
      </c>
    </row>
    <row r="98" ht="15.75" customHeight="1">
      <c r="A98" s="24" t="s">
        <v>21</v>
      </c>
      <c r="B98" s="25">
        <v>97.0</v>
      </c>
      <c r="C98" s="8" t="s">
        <v>406</v>
      </c>
      <c r="D98" s="26">
        <v>46177.734143518515</v>
      </c>
    </row>
    <row r="99" ht="15.75" customHeight="1">
      <c r="A99" s="24" t="s">
        <v>21</v>
      </c>
      <c r="B99" s="25">
        <v>98.0</v>
      </c>
      <c r="C99" s="8" t="s">
        <v>410</v>
      </c>
      <c r="D99" s="26">
        <v>46177.73415509259</v>
      </c>
    </row>
    <row r="100" ht="15.75" customHeight="1">
      <c r="A100" s="24" t="s">
        <v>21</v>
      </c>
      <c r="B100" s="25">
        <v>99.0</v>
      </c>
      <c r="C100" s="8" t="s">
        <v>414</v>
      </c>
      <c r="D100" s="26">
        <v>46177.73415509259</v>
      </c>
    </row>
    <row r="101" ht="15.75" customHeight="1">
      <c r="A101" s="24" t="s">
        <v>21</v>
      </c>
      <c r="B101" s="25">
        <v>100.0</v>
      </c>
      <c r="C101" s="8" t="s">
        <v>418</v>
      </c>
      <c r="D101" s="26">
        <v>46177.73416666667</v>
      </c>
    </row>
    <row r="102" ht="15.75" customHeight="1">
      <c r="A102" s="24" t="s">
        <v>422</v>
      </c>
      <c r="B102" s="25">
        <v>1.0</v>
      </c>
      <c r="C102" s="8" t="s">
        <v>423</v>
      </c>
      <c r="D102" s="26">
        <v>46177.73511574074</v>
      </c>
    </row>
    <row r="103" ht="15.75" customHeight="1">
      <c r="A103" s="24" t="s">
        <v>422</v>
      </c>
      <c r="B103" s="25">
        <v>6.0</v>
      </c>
      <c r="C103" s="8" t="s">
        <v>427</v>
      </c>
      <c r="D103" s="26">
        <v>46177.73511574074</v>
      </c>
    </row>
    <row r="104" ht="15.75" customHeight="1">
      <c r="A104" s="24" t="s">
        <v>422</v>
      </c>
      <c r="B104" s="25">
        <v>16.0</v>
      </c>
      <c r="C104" s="8" t="s">
        <v>431</v>
      </c>
      <c r="D104" s="26">
        <v>46177.735127314816</v>
      </c>
    </row>
    <row r="105" ht="15.75" customHeight="1">
      <c r="A105" s="24" t="s">
        <v>422</v>
      </c>
      <c r="B105" s="25">
        <v>2.0</v>
      </c>
      <c r="C105" s="8" t="s">
        <v>435</v>
      </c>
      <c r="D105" s="26">
        <v>46177.735127314816</v>
      </c>
    </row>
    <row r="106" ht="15.75" customHeight="1">
      <c r="A106" s="24" t="s">
        <v>422</v>
      </c>
      <c r="B106" s="25">
        <v>12.0</v>
      </c>
      <c r="C106" s="8" t="s">
        <v>439</v>
      </c>
      <c r="D106" s="26">
        <v>46177.735127314816</v>
      </c>
    </row>
    <row r="107" ht="15.75" customHeight="1">
      <c r="A107" s="24" t="s">
        <v>422</v>
      </c>
      <c r="B107" s="25">
        <v>18.0</v>
      </c>
      <c r="C107" s="8" t="s">
        <v>443</v>
      </c>
      <c r="D107" s="26">
        <v>46177.735138888886</v>
      </c>
    </row>
    <row r="108" ht="15.75" customHeight="1">
      <c r="A108" s="24" t="s">
        <v>422</v>
      </c>
      <c r="B108" s="25">
        <v>8.0</v>
      </c>
      <c r="C108" s="8" t="s">
        <v>447</v>
      </c>
      <c r="D108" s="26">
        <v>46177.735138888886</v>
      </c>
    </row>
    <row r="109" ht="15.75" customHeight="1">
      <c r="A109" s="24" t="s">
        <v>422</v>
      </c>
      <c r="B109" s="25">
        <v>24.0</v>
      </c>
      <c r="C109" s="8" t="s">
        <v>451</v>
      </c>
      <c r="D109" s="26">
        <v>46177.735138888886</v>
      </c>
    </row>
    <row r="110" ht="15.75" customHeight="1">
      <c r="A110" s="24" t="s">
        <v>422</v>
      </c>
      <c r="B110" s="25">
        <v>9.0</v>
      </c>
      <c r="C110" s="8" t="s">
        <v>455</v>
      </c>
      <c r="D110" s="26">
        <v>46177.73515046296</v>
      </c>
    </row>
    <row r="111" ht="15.75" customHeight="1">
      <c r="A111" s="24" t="s">
        <v>422</v>
      </c>
      <c r="B111" s="25">
        <v>7.0</v>
      </c>
      <c r="C111" s="8" t="s">
        <v>459</v>
      </c>
      <c r="D111" s="26">
        <v>46177.73515046296</v>
      </c>
    </row>
    <row r="112" ht="15.75" customHeight="1">
      <c r="A112" s="24" t="s">
        <v>422</v>
      </c>
      <c r="B112" s="25">
        <v>20.0</v>
      </c>
      <c r="C112" s="8" t="s">
        <v>463</v>
      </c>
      <c r="D112" s="26">
        <v>46177.73515046296</v>
      </c>
    </row>
    <row r="113" ht="15.75" customHeight="1">
      <c r="A113" s="24" t="s">
        <v>422</v>
      </c>
      <c r="B113" s="25">
        <v>3.0</v>
      </c>
      <c r="C113" s="8" t="s">
        <v>467</v>
      </c>
      <c r="D113" s="26">
        <v>46177.73516203704</v>
      </c>
    </row>
    <row r="114" ht="15.75" customHeight="1">
      <c r="A114" s="24" t="s">
        <v>422</v>
      </c>
      <c r="B114" s="25">
        <v>13.0</v>
      </c>
      <c r="C114" s="8" t="s">
        <v>471</v>
      </c>
      <c r="D114" s="26">
        <v>46177.73516203704</v>
      </c>
    </row>
    <row r="115" ht="15.75" customHeight="1">
      <c r="A115" s="24" t="s">
        <v>422</v>
      </c>
      <c r="B115" s="25">
        <v>5.0</v>
      </c>
      <c r="C115" s="8" t="s">
        <v>475</v>
      </c>
      <c r="D115" s="26">
        <v>46177.73516203704</v>
      </c>
    </row>
    <row r="116" ht="15.75" customHeight="1">
      <c r="A116" s="24" t="s">
        <v>422</v>
      </c>
      <c r="B116" s="25">
        <v>22.0</v>
      </c>
      <c r="C116" s="8" t="s">
        <v>479</v>
      </c>
      <c r="D116" s="26">
        <v>46177.73517361111</v>
      </c>
    </row>
    <row r="117" ht="15.75" customHeight="1">
      <c r="A117" s="24" t="s">
        <v>422</v>
      </c>
      <c r="B117" s="25">
        <v>17.0</v>
      </c>
      <c r="C117" s="8" t="s">
        <v>483</v>
      </c>
      <c r="D117" s="26">
        <v>46177.73517361111</v>
      </c>
    </row>
    <row r="118" ht="15.75" customHeight="1">
      <c r="A118" s="24" t="s">
        <v>422</v>
      </c>
      <c r="B118" s="25">
        <v>11.0</v>
      </c>
      <c r="C118" s="8" t="s">
        <v>487</v>
      </c>
      <c r="D118" s="26">
        <v>46177.73517361111</v>
      </c>
    </row>
    <row r="119" ht="15.75" customHeight="1">
      <c r="A119" s="24" t="s">
        <v>422</v>
      </c>
      <c r="B119" s="25">
        <v>23.0</v>
      </c>
      <c r="C119" s="8" t="s">
        <v>491</v>
      </c>
      <c r="D119" s="26">
        <v>46177.735185185185</v>
      </c>
    </row>
    <row r="120" ht="15.75" customHeight="1">
      <c r="A120" s="24" t="s">
        <v>422</v>
      </c>
      <c r="B120" s="25">
        <v>26.0</v>
      </c>
      <c r="C120" s="8" t="s">
        <v>495</v>
      </c>
      <c r="D120" s="26">
        <v>46177.735185185185</v>
      </c>
    </row>
    <row r="121" ht="15.75" customHeight="1">
      <c r="A121" s="24" t="s">
        <v>422</v>
      </c>
      <c r="B121" s="25">
        <v>25.0</v>
      </c>
      <c r="C121" s="8" t="s">
        <v>499</v>
      </c>
      <c r="D121" s="26">
        <v>46177.735185185185</v>
      </c>
    </row>
    <row r="122" ht="15.75" customHeight="1">
      <c r="A122" s="24" t="s">
        <v>422</v>
      </c>
      <c r="B122" s="25">
        <v>4.0</v>
      </c>
      <c r="C122" s="8" t="s">
        <v>503</v>
      </c>
      <c r="D122" s="26">
        <v>46177.73519675926</v>
      </c>
    </row>
    <row r="123" ht="15.75" customHeight="1">
      <c r="A123" s="24" t="s">
        <v>422</v>
      </c>
      <c r="B123" s="25">
        <v>29.0</v>
      </c>
      <c r="C123" s="8" t="s">
        <v>507</v>
      </c>
      <c r="D123" s="26">
        <v>46177.73520833333</v>
      </c>
    </row>
    <row r="124" ht="15.75" customHeight="1">
      <c r="A124" s="24" t="s">
        <v>422</v>
      </c>
      <c r="B124" s="25">
        <v>28.0</v>
      </c>
      <c r="C124" s="8" t="s">
        <v>511</v>
      </c>
      <c r="D124" s="26">
        <v>46177.73520833333</v>
      </c>
    </row>
    <row r="125" ht="15.75" customHeight="1">
      <c r="A125" s="24" t="s">
        <v>422</v>
      </c>
      <c r="B125" s="25">
        <v>19.0</v>
      </c>
      <c r="C125" s="8" t="s">
        <v>515</v>
      </c>
      <c r="D125" s="26">
        <v>46177.73520833333</v>
      </c>
    </row>
    <row r="126" ht="15.75" customHeight="1">
      <c r="A126" s="24" t="s">
        <v>422</v>
      </c>
      <c r="B126" s="25">
        <v>10.0</v>
      </c>
      <c r="C126" s="8" t="s">
        <v>519</v>
      </c>
      <c r="D126" s="26">
        <v>46177.73521990741</v>
      </c>
    </row>
    <row r="127" ht="15.75" customHeight="1">
      <c r="A127" s="24" t="s">
        <v>422</v>
      </c>
      <c r="B127" s="25">
        <v>36.0</v>
      </c>
      <c r="C127" s="8" t="s">
        <v>523</v>
      </c>
      <c r="D127" s="26">
        <v>46177.73521990741</v>
      </c>
    </row>
    <row r="128" ht="15.75" customHeight="1">
      <c r="A128" s="24" t="s">
        <v>422</v>
      </c>
      <c r="B128" s="25">
        <v>31.0</v>
      </c>
      <c r="C128" s="8" t="s">
        <v>527</v>
      </c>
      <c r="D128" s="26">
        <v>46177.73523148148</v>
      </c>
    </row>
    <row r="129" ht="15.75" customHeight="1">
      <c r="A129" s="24" t="s">
        <v>422</v>
      </c>
      <c r="B129" s="25">
        <v>21.0</v>
      </c>
      <c r="C129" s="8" t="s">
        <v>531</v>
      </c>
      <c r="D129" s="26">
        <v>46177.73523148148</v>
      </c>
    </row>
    <row r="130" ht="15.75" customHeight="1">
      <c r="A130" s="24" t="s">
        <v>422</v>
      </c>
      <c r="B130" s="25">
        <v>33.0</v>
      </c>
      <c r="C130" s="8" t="s">
        <v>535</v>
      </c>
      <c r="D130" s="26">
        <v>46177.73523148148</v>
      </c>
    </row>
    <row r="131" ht="15.75" customHeight="1">
      <c r="A131" s="24" t="s">
        <v>422</v>
      </c>
      <c r="B131" s="25">
        <v>27.0</v>
      </c>
      <c r="C131" s="8" t="s">
        <v>539</v>
      </c>
      <c r="D131" s="26">
        <v>46177.735243055555</v>
      </c>
    </row>
    <row r="132" ht="15.75" customHeight="1">
      <c r="A132" s="24" t="s">
        <v>422</v>
      </c>
      <c r="B132" s="25">
        <v>38.0</v>
      </c>
      <c r="C132" s="8" t="s">
        <v>543</v>
      </c>
      <c r="D132" s="26">
        <v>46177.735243055555</v>
      </c>
    </row>
    <row r="133" ht="15.75" customHeight="1">
      <c r="A133" s="24" t="s">
        <v>422</v>
      </c>
      <c r="B133" s="25">
        <v>14.0</v>
      </c>
      <c r="C133" s="8" t="s">
        <v>547</v>
      </c>
      <c r="D133" s="26">
        <v>46177.735243055555</v>
      </c>
    </row>
    <row r="134" ht="15.75" customHeight="1">
      <c r="A134" s="24" t="s">
        <v>422</v>
      </c>
      <c r="B134" s="25">
        <v>34.0</v>
      </c>
      <c r="C134" s="8" t="s">
        <v>551</v>
      </c>
      <c r="D134" s="26">
        <v>46177.73525462963</v>
      </c>
    </row>
    <row r="135" ht="15.75" customHeight="1">
      <c r="A135" s="24" t="s">
        <v>422</v>
      </c>
      <c r="B135" s="25">
        <v>15.0</v>
      </c>
      <c r="C135" s="8" t="s">
        <v>555</v>
      </c>
      <c r="D135" s="26">
        <v>46177.73525462963</v>
      </c>
    </row>
    <row r="136" ht="15.75" customHeight="1">
      <c r="A136" s="24" t="s">
        <v>422</v>
      </c>
      <c r="B136" s="25">
        <v>32.0</v>
      </c>
      <c r="C136" s="8" t="s">
        <v>559</v>
      </c>
      <c r="D136" s="26">
        <v>46177.73525462963</v>
      </c>
    </row>
    <row r="137" ht="15.75" customHeight="1">
      <c r="A137" s="24" t="s">
        <v>422</v>
      </c>
      <c r="B137" s="25">
        <v>30.0</v>
      </c>
      <c r="C137" s="8" t="s">
        <v>563</v>
      </c>
      <c r="D137" s="26">
        <v>46177.7352662037</v>
      </c>
    </row>
    <row r="138" ht="15.75" customHeight="1">
      <c r="A138" s="24" t="s">
        <v>422</v>
      </c>
      <c r="B138" s="25">
        <v>37.0</v>
      </c>
      <c r="C138" s="8" t="s">
        <v>567</v>
      </c>
      <c r="D138" s="26">
        <v>46177.7352662037</v>
      </c>
    </row>
    <row r="139" ht="15.75" customHeight="1">
      <c r="A139" s="24" t="s">
        <v>422</v>
      </c>
      <c r="B139" s="25">
        <v>40.0</v>
      </c>
      <c r="C139" s="8" t="s">
        <v>571</v>
      </c>
      <c r="D139" s="26">
        <v>46177.7352662037</v>
      </c>
    </row>
    <row r="140" ht="15.75" customHeight="1">
      <c r="A140" s="24" t="s">
        <v>422</v>
      </c>
      <c r="B140" s="25">
        <v>35.0</v>
      </c>
      <c r="C140" s="8" t="s">
        <v>575</v>
      </c>
      <c r="D140" s="26">
        <v>46177.73527777778</v>
      </c>
    </row>
    <row r="141" ht="15.75" customHeight="1">
      <c r="A141" s="24" t="s">
        <v>422</v>
      </c>
      <c r="B141" s="25">
        <v>43.0</v>
      </c>
      <c r="C141" s="8" t="s">
        <v>579</v>
      </c>
      <c r="D141" s="26">
        <v>46177.73527777778</v>
      </c>
    </row>
    <row r="142" ht="15.75" customHeight="1">
      <c r="A142" s="24" t="s">
        <v>422</v>
      </c>
      <c r="B142" s="25">
        <v>48.0</v>
      </c>
      <c r="C142" s="8" t="s">
        <v>583</v>
      </c>
      <c r="D142" s="26">
        <v>46177.73527777778</v>
      </c>
    </row>
    <row r="143" ht="15.75" customHeight="1">
      <c r="A143" s="24" t="s">
        <v>422</v>
      </c>
      <c r="B143" s="25">
        <v>53.0</v>
      </c>
      <c r="C143" s="8" t="s">
        <v>587</v>
      </c>
      <c r="D143" s="26">
        <v>46177.735289351855</v>
      </c>
    </row>
    <row r="144" ht="15.75" customHeight="1">
      <c r="A144" s="24" t="s">
        <v>422</v>
      </c>
      <c r="B144" s="25">
        <v>46.0</v>
      </c>
      <c r="C144" s="8" t="s">
        <v>591</v>
      </c>
      <c r="D144" s="26">
        <v>46177.735289351855</v>
      </c>
    </row>
    <row r="145" ht="15.75" customHeight="1">
      <c r="A145" s="24" t="s">
        <v>422</v>
      </c>
      <c r="B145" s="25">
        <v>41.0</v>
      </c>
      <c r="C145" s="8" t="s">
        <v>595</v>
      </c>
      <c r="D145" s="26">
        <v>46177.735289351855</v>
      </c>
    </row>
    <row r="146" ht="15.75" customHeight="1">
      <c r="A146" s="24" t="s">
        <v>422</v>
      </c>
      <c r="B146" s="25">
        <v>56.0</v>
      </c>
      <c r="C146" s="8" t="s">
        <v>599</v>
      </c>
      <c r="D146" s="26">
        <v>46177.735300925924</v>
      </c>
    </row>
    <row r="147" ht="15.75" customHeight="1">
      <c r="A147" s="24" t="s">
        <v>422</v>
      </c>
      <c r="B147" s="25">
        <v>58.0</v>
      </c>
      <c r="C147" s="8" t="s">
        <v>603</v>
      </c>
      <c r="D147" s="26">
        <v>46177.735300925924</v>
      </c>
    </row>
    <row r="148" ht="15.75" customHeight="1">
      <c r="A148" s="24" t="s">
        <v>422</v>
      </c>
      <c r="B148" s="25">
        <v>61.0</v>
      </c>
      <c r="C148" s="8" t="s">
        <v>607</v>
      </c>
      <c r="D148" s="26">
        <v>46177.7353125</v>
      </c>
    </row>
    <row r="149" ht="15.75" customHeight="1">
      <c r="A149" s="24" t="s">
        <v>422</v>
      </c>
      <c r="B149" s="25">
        <v>47.0</v>
      </c>
      <c r="C149" s="8" t="s">
        <v>611</v>
      </c>
      <c r="D149" s="26">
        <v>46177.7353125</v>
      </c>
    </row>
    <row r="150" ht="15.75" customHeight="1">
      <c r="A150" s="24" t="s">
        <v>422</v>
      </c>
      <c r="B150" s="25">
        <v>65.0</v>
      </c>
      <c r="C150" s="8" t="s">
        <v>615</v>
      </c>
      <c r="D150" s="26">
        <v>46177.73532407408</v>
      </c>
    </row>
    <row r="151" ht="15.75" customHeight="1">
      <c r="A151" s="24" t="s">
        <v>422</v>
      </c>
      <c r="B151" s="25">
        <v>49.0</v>
      </c>
      <c r="C151" s="8" t="s">
        <v>619</v>
      </c>
      <c r="D151" s="26">
        <v>46177.73532407408</v>
      </c>
    </row>
    <row r="152" ht="15.75" customHeight="1">
      <c r="A152" s="24" t="s">
        <v>422</v>
      </c>
      <c r="B152" s="25">
        <v>42.0</v>
      </c>
      <c r="C152" s="8" t="s">
        <v>623</v>
      </c>
      <c r="D152" s="26">
        <v>46177.73532407408</v>
      </c>
    </row>
    <row r="153" ht="15.75" customHeight="1">
      <c r="A153" s="24" t="s">
        <v>422</v>
      </c>
      <c r="B153" s="25">
        <v>62.0</v>
      </c>
      <c r="C153" s="8" t="s">
        <v>627</v>
      </c>
      <c r="D153" s="26">
        <v>46177.73533564815</v>
      </c>
    </row>
    <row r="154" ht="15.75" customHeight="1">
      <c r="A154" s="24" t="s">
        <v>422</v>
      </c>
      <c r="B154" s="25">
        <v>44.0</v>
      </c>
      <c r="C154" s="8" t="s">
        <v>631</v>
      </c>
      <c r="D154" s="26">
        <v>46177.73533564815</v>
      </c>
    </row>
    <row r="155" ht="15.75" customHeight="1">
      <c r="A155" s="24" t="s">
        <v>422</v>
      </c>
      <c r="B155" s="25">
        <v>51.0</v>
      </c>
      <c r="C155" s="8" t="s">
        <v>635</v>
      </c>
      <c r="D155" s="26">
        <v>46177.735347222224</v>
      </c>
    </row>
    <row r="156" ht="15.75" customHeight="1">
      <c r="A156" s="24" t="s">
        <v>422</v>
      </c>
      <c r="B156" s="25">
        <v>57.0</v>
      </c>
      <c r="C156" s="8" t="s">
        <v>639</v>
      </c>
      <c r="D156" s="26">
        <v>46177.735347222224</v>
      </c>
    </row>
    <row r="157" ht="15.75" customHeight="1">
      <c r="A157" s="24" t="s">
        <v>422</v>
      </c>
      <c r="B157" s="25">
        <v>70.0</v>
      </c>
      <c r="C157" s="8" t="s">
        <v>643</v>
      </c>
      <c r="D157" s="26">
        <v>46177.735347222224</v>
      </c>
    </row>
    <row r="158" ht="15.75" customHeight="1">
      <c r="A158" s="24" t="s">
        <v>422</v>
      </c>
      <c r="B158" s="25">
        <v>75.0</v>
      </c>
      <c r="C158" s="8" t="s">
        <v>647</v>
      </c>
      <c r="D158" s="26">
        <v>46177.73535879629</v>
      </c>
    </row>
    <row r="159" ht="15.75" customHeight="1">
      <c r="A159" s="24" t="s">
        <v>422</v>
      </c>
      <c r="B159" s="25">
        <v>54.0</v>
      </c>
      <c r="C159" s="8" t="s">
        <v>651</v>
      </c>
      <c r="D159" s="26">
        <v>46177.73535879629</v>
      </c>
    </row>
    <row r="160" ht="15.75" customHeight="1">
      <c r="A160" s="24" t="s">
        <v>422</v>
      </c>
      <c r="B160" s="25">
        <v>52.0</v>
      </c>
      <c r="C160" s="8" t="s">
        <v>655</v>
      </c>
      <c r="D160" s="26">
        <v>46177.73535879629</v>
      </c>
    </row>
    <row r="161" ht="15.75" customHeight="1">
      <c r="A161" s="24" t="s">
        <v>422</v>
      </c>
      <c r="B161" s="25">
        <v>39.0</v>
      </c>
      <c r="C161" s="8" t="s">
        <v>659</v>
      </c>
      <c r="D161" s="26">
        <v>46177.73537037037</v>
      </c>
    </row>
    <row r="162" ht="15.75" customHeight="1">
      <c r="A162" s="24" t="s">
        <v>422</v>
      </c>
      <c r="B162" s="25">
        <v>45.0</v>
      </c>
      <c r="C162" s="8" t="s">
        <v>663</v>
      </c>
      <c r="D162" s="26">
        <v>46177.73538194445</v>
      </c>
    </row>
    <row r="163" ht="15.75" customHeight="1">
      <c r="A163" s="24" t="s">
        <v>422</v>
      </c>
      <c r="B163" s="25">
        <v>76.0</v>
      </c>
      <c r="C163" s="8" t="s">
        <v>667</v>
      </c>
      <c r="D163" s="26">
        <v>46177.73538194445</v>
      </c>
    </row>
    <row r="164" ht="15.75" customHeight="1">
      <c r="A164" s="24" t="s">
        <v>422</v>
      </c>
      <c r="B164" s="25">
        <v>55.0</v>
      </c>
      <c r="C164" s="8" t="s">
        <v>671</v>
      </c>
      <c r="D164" s="26">
        <v>46177.73538194445</v>
      </c>
    </row>
    <row r="165" ht="15.75" customHeight="1">
      <c r="A165" s="24" t="s">
        <v>422</v>
      </c>
      <c r="B165" s="25">
        <v>67.0</v>
      </c>
      <c r="C165" s="8" t="s">
        <v>675</v>
      </c>
      <c r="D165" s="26">
        <v>46177.73539351852</v>
      </c>
    </row>
    <row r="166" ht="15.75" customHeight="1">
      <c r="A166" s="24" t="s">
        <v>422</v>
      </c>
      <c r="B166" s="25">
        <v>87.0</v>
      </c>
      <c r="C166" s="8" t="s">
        <v>679</v>
      </c>
      <c r="D166" s="26">
        <v>46177.73539351852</v>
      </c>
    </row>
    <row r="167" ht="15.75" customHeight="1">
      <c r="A167" s="24" t="s">
        <v>422</v>
      </c>
      <c r="B167" s="25">
        <v>74.0</v>
      </c>
      <c r="C167" s="8" t="s">
        <v>683</v>
      </c>
      <c r="D167" s="26">
        <v>46177.73540509259</v>
      </c>
    </row>
    <row r="168" ht="15.75" customHeight="1">
      <c r="A168" s="24" t="s">
        <v>422</v>
      </c>
      <c r="B168" s="25">
        <v>82.0</v>
      </c>
      <c r="C168" s="8" t="s">
        <v>687</v>
      </c>
      <c r="D168" s="26">
        <v>46177.73540509259</v>
      </c>
    </row>
    <row r="169" ht="15.75" customHeight="1">
      <c r="A169" s="24" t="s">
        <v>422</v>
      </c>
      <c r="B169" s="25">
        <v>92.0</v>
      </c>
      <c r="C169" s="8" t="s">
        <v>691</v>
      </c>
      <c r="D169" s="26">
        <v>46177.73540509259</v>
      </c>
    </row>
    <row r="170" ht="15.75" customHeight="1">
      <c r="A170" s="24" t="s">
        <v>422</v>
      </c>
      <c r="B170" s="25">
        <v>95.0</v>
      </c>
      <c r="C170" s="8" t="s">
        <v>695</v>
      </c>
      <c r="D170" s="26">
        <v>46177.73541666667</v>
      </c>
    </row>
    <row r="171" ht="15.75" customHeight="1">
      <c r="A171" s="24" t="s">
        <v>422</v>
      </c>
      <c r="B171" s="25">
        <v>71.0</v>
      </c>
      <c r="C171" s="8" t="s">
        <v>699</v>
      </c>
      <c r="D171" s="26">
        <v>46177.73541666667</v>
      </c>
    </row>
    <row r="172" ht="15.75" customHeight="1">
      <c r="A172" s="24" t="s">
        <v>422</v>
      </c>
      <c r="B172" s="25">
        <v>89.0</v>
      </c>
      <c r="C172" s="8" t="s">
        <v>703</v>
      </c>
      <c r="D172" s="26">
        <v>46177.73542824074</v>
      </c>
    </row>
    <row r="173" ht="15.75" customHeight="1">
      <c r="A173" s="24" t="s">
        <v>422</v>
      </c>
      <c r="B173" s="25">
        <v>59.0</v>
      </c>
      <c r="C173" s="8" t="s">
        <v>707</v>
      </c>
      <c r="D173" s="26">
        <v>46177.73542824074</v>
      </c>
    </row>
    <row r="174" ht="15.75" customHeight="1">
      <c r="A174" s="24" t="s">
        <v>422</v>
      </c>
      <c r="B174" s="25">
        <v>63.0</v>
      </c>
      <c r="C174" s="8" t="s">
        <v>711</v>
      </c>
      <c r="D174" s="26">
        <v>46177.73542824074</v>
      </c>
    </row>
    <row r="175" ht="15.75" customHeight="1">
      <c r="A175" s="24" t="s">
        <v>422</v>
      </c>
      <c r="B175" s="25">
        <v>64.0</v>
      </c>
      <c r="C175" s="8" t="s">
        <v>715</v>
      </c>
      <c r="D175" s="26">
        <v>46177.735439814816</v>
      </c>
    </row>
    <row r="176" ht="15.75" customHeight="1">
      <c r="A176" s="24" t="s">
        <v>422</v>
      </c>
      <c r="B176" s="25">
        <v>73.0</v>
      </c>
      <c r="C176" s="8" t="s">
        <v>719</v>
      </c>
      <c r="D176" s="26">
        <v>46177.735439814816</v>
      </c>
    </row>
    <row r="177" ht="15.75" customHeight="1">
      <c r="A177" s="24" t="s">
        <v>422</v>
      </c>
      <c r="B177" s="25">
        <v>90.0</v>
      </c>
      <c r="C177" s="8" t="s">
        <v>723</v>
      </c>
      <c r="D177" s="26">
        <v>46177.735451388886</v>
      </c>
    </row>
    <row r="178" ht="15.75" customHeight="1">
      <c r="A178" s="24" t="s">
        <v>422</v>
      </c>
      <c r="B178" s="25">
        <v>94.0</v>
      </c>
      <c r="C178" s="8" t="s">
        <v>727</v>
      </c>
      <c r="D178" s="26">
        <v>46177.735451388886</v>
      </c>
    </row>
    <row r="179" ht="15.75" customHeight="1">
      <c r="A179" s="24" t="s">
        <v>422</v>
      </c>
      <c r="B179" s="25">
        <v>80.0</v>
      </c>
      <c r="C179" s="8" t="s">
        <v>731</v>
      </c>
      <c r="D179" s="26">
        <v>46177.735451388886</v>
      </c>
    </row>
    <row r="180" ht="15.75" customHeight="1">
      <c r="A180" s="24" t="s">
        <v>422</v>
      </c>
      <c r="B180" s="25">
        <v>96.0</v>
      </c>
      <c r="C180" s="8" t="s">
        <v>735</v>
      </c>
      <c r="D180" s="26">
        <v>46177.73546296296</v>
      </c>
    </row>
    <row r="181" ht="15.75" customHeight="1">
      <c r="A181" s="24" t="s">
        <v>422</v>
      </c>
      <c r="B181" s="25">
        <v>50.0</v>
      </c>
      <c r="C181" s="8" t="s">
        <v>739</v>
      </c>
      <c r="D181" s="26">
        <v>46177.73546296296</v>
      </c>
    </row>
    <row r="182" ht="15.75" customHeight="1">
      <c r="A182" s="24" t="s">
        <v>422</v>
      </c>
      <c r="B182" s="25">
        <v>98.0</v>
      </c>
      <c r="C182" s="8" t="s">
        <v>743</v>
      </c>
      <c r="D182" s="26">
        <v>46177.73547453704</v>
      </c>
    </row>
    <row r="183" ht="15.75" customHeight="1">
      <c r="A183" s="24" t="s">
        <v>422</v>
      </c>
      <c r="B183" s="25">
        <v>85.0</v>
      </c>
      <c r="C183" s="8" t="s">
        <v>747</v>
      </c>
      <c r="D183" s="26">
        <v>46177.73547453704</v>
      </c>
    </row>
    <row r="184" ht="15.75" customHeight="1">
      <c r="A184" s="24" t="s">
        <v>422</v>
      </c>
      <c r="B184" s="25">
        <v>79.0</v>
      </c>
      <c r="C184" s="8" t="s">
        <v>751</v>
      </c>
      <c r="D184" s="26">
        <v>46177.73547453704</v>
      </c>
    </row>
    <row r="185" ht="15.75" customHeight="1">
      <c r="A185" s="24" t="s">
        <v>422</v>
      </c>
      <c r="B185" s="25">
        <v>100.0</v>
      </c>
      <c r="C185" s="8" t="s">
        <v>755</v>
      </c>
      <c r="D185" s="26">
        <v>46177.73548611111</v>
      </c>
    </row>
    <row r="186" ht="15.75" customHeight="1">
      <c r="A186" s="24" t="s">
        <v>422</v>
      </c>
      <c r="B186" s="25">
        <v>99.0</v>
      </c>
      <c r="C186" s="8" t="s">
        <v>759</v>
      </c>
      <c r="D186" s="26">
        <v>46177.73548611111</v>
      </c>
    </row>
    <row r="187" ht="15.75" customHeight="1">
      <c r="A187" s="24" t="s">
        <v>422</v>
      </c>
      <c r="B187" s="25">
        <v>60.0</v>
      </c>
      <c r="C187" s="8" t="s">
        <v>763</v>
      </c>
      <c r="D187" s="26">
        <v>46177.735497685186</v>
      </c>
    </row>
    <row r="188" ht="15.75" customHeight="1">
      <c r="A188" s="24" t="s">
        <v>422</v>
      </c>
      <c r="B188" s="25">
        <v>68.0</v>
      </c>
      <c r="C188" s="8" t="s">
        <v>767</v>
      </c>
      <c r="D188" s="26">
        <v>46177.735497685186</v>
      </c>
    </row>
    <row r="189" ht="15.75" customHeight="1">
      <c r="A189" s="24" t="s">
        <v>422</v>
      </c>
      <c r="B189" s="25">
        <v>69.0</v>
      </c>
      <c r="C189" s="8" t="s">
        <v>771</v>
      </c>
      <c r="D189" s="26">
        <v>46177.735497685186</v>
      </c>
    </row>
    <row r="190" ht="15.75" customHeight="1">
      <c r="A190" s="24" t="s">
        <v>422</v>
      </c>
      <c r="B190" s="25">
        <v>84.0</v>
      </c>
      <c r="C190" s="8" t="s">
        <v>775</v>
      </c>
      <c r="D190" s="26">
        <v>46177.73550925926</v>
      </c>
    </row>
    <row r="191" ht="15.75" customHeight="1">
      <c r="A191" s="24" t="s">
        <v>422</v>
      </c>
      <c r="B191" s="25">
        <v>86.0</v>
      </c>
      <c r="C191" s="8" t="s">
        <v>779</v>
      </c>
      <c r="D191" s="26">
        <v>46177.73550925926</v>
      </c>
    </row>
    <row r="192" ht="15.75" customHeight="1">
      <c r="A192" s="24" t="s">
        <v>422</v>
      </c>
      <c r="B192" s="25">
        <v>72.0</v>
      </c>
      <c r="C192" s="8" t="s">
        <v>783</v>
      </c>
      <c r="D192" s="26">
        <v>46177.73552083333</v>
      </c>
    </row>
    <row r="193" ht="15.75" customHeight="1">
      <c r="A193" s="24" t="s">
        <v>422</v>
      </c>
      <c r="B193" s="25">
        <v>78.0</v>
      </c>
      <c r="C193" s="8" t="s">
        <v>787</v>
      </c>
      <c r="D193" s="26">
        <v>46177.73552083333</v>
      </c>
    </row>
    <row r="194" ht="15.75" customHeight="1">
      <c r="A194" s="24" t="s">
        <v>422</v>
      </c>
      <c r="B194" s="25">
        <v>66.0</v>
      </c>
      <c r="C194" s="8" t="s">
        <v>791</v>
      </c>
      <c r="D194" s="26">
        <v>46177.73552083333</v>
      </c>
    </row>
    <row r="195" ht="15.75" customHeight="1">
      <c r="A195" s="24" t="s">
        <v>422</v>
      </c>
      <c r="B195" s="25">
        <v>83.0</v>
      </c>
      <c r="C195" s="8" t="s">
        <v>795</v>
      </c>
      <c r="D195" s="26">
        <v>46177.73553240741</v>
      </c>
    </row>
    <row r="196" ht="15.75" customHeight="1">
      <c r="A196" s="24" t="s">
        <v>422</v>
      </c>
      <c r="B196" s="25">
        <v>93.0</v>
      </c>
      <c r="C196" s="8" t="s">
        <v>799</v>
      </c>
      <c r="D196" s="26">
        <v>46177.73553240741</v>
      </c>
    </row>
    <row r="197" ht="15.75" customHeight="1">
      <c r="A197" s="24" t="s">
        <v>422</v>
      </c>
      <c r="B197" s="25">
        <v>97.0</v>
      </c>
      <c r="C197" s="8" t="s">
        <v>803</v>
      </c>
      <c r="D197" s="26">
        <v>46177.73554398148</v>
      </c>
    </row>
    <row r="198" ht="15.75" customHeight="1">
      <c r="A198" s="24" t="s">
        <v>422</v>
      </c>
      <c r="B198" s="25">
        <v>77.0</v>
      </c>
      <c r="C198" s="8" t="s">
        <v>807</v>
      </c>
      <c r="D198" s="26">
        <v>46177.73554398148</v>
      </c>
    </row>
    <row r="199" ht="15.75" customHeight="1">
      <c r="A199" s="24" t="s">
        <v>422</v>
      </c>
      <c r="B199" s="25">
        <v>81.0</v>
      </c>
      <c r="C199" s="8" t="s">
        <v>811</v>
      </c>
      <c r="D199" s="26">
        <v>46177.73554398148</v>
      </c>
    </row>
    <row r="200" ht="15.75" customHeight="1">
      <c r="A200" s="24" t="s">
        <v>422</v>
      </c>
      <c r="B200" s="25">
        <v>88.0</v>
      </c>
      <c r="C200" s="8" t="s">
        <v>815</v>
      </c>
      <c r="D200" s="26">
        <v>46177.735555555555</v>
      </c>
    </row>
    <row r="201" ht="15.75" customHeight="1">
      <c r="A201" s="24" t="s">
        <v>422</v>
      </c>
      <c r="B201" s="25">
        <v>91.0</v>
      </c>
      <c r="C201" s="8" t="s">
        <v>819</v>
      </c>
      <c r="D201" s="26">
        <v>46177.735555555555</v>
      </c>
    </row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A2:A201">
      <formula1>"fifo,standard"</formula1>
    </dataValidation>
    <dataValidation type="custom" allowBlank="1" showDropDown="1" sqref="D2:D201">
      <formula1>OR(NOT(ISERROR(DATEVALUE(D2))), AND(ISNUMBER(D2), LEFT(CELL("format", D2))="D"))</formula1>
    </dataValidation>
    <dataValidation type="custom" allowBlank="1" showDropDown="1" sqref="B2:B201">
      <formula1>AND(ISNUMBER(B2),(NOT(OR(NOT(ISERROR(DATEVALUE(B2))), AND(ISNUMBER(B2), LEFT(CELL("format", B2))="D")))))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3.25"/>
    <col customWidth="1" min="2" max="2" width="22.75"/>
    <col customWidth="1" min="3" max="3" width="24.38"/>
    <col customWidth="1" min="4" max="4" width="25.5"/>
    <col customWidth="1" min="5" max="5" width="26.0"/>
  </cols>
  <sheetData>
    <row r="1" ht="22.5" customHeight="1">
      <c r="A1" s="17" t="s">
        <v>826</v>
      </c>
      <c r="B1" s="17" t="s">
        <v>827</v>
      </c>
      <c r="C1" s="17" t="s">
        <v>828</v>
      </c>
      <c r="D1" s="17" t="s">
        <v>829</v>
      </c>
      <c r="E1" s="17" t="s">
        <v>830</v>
      </c>
    </row>
    <row r="2" ht="22.5" customHeight="1">
      <c r="A2" s="19" t="s">
        <v>21</v>
      </c>
      <c r="B2" s="18">
        <v>100.0</v>
      </c>
      <c r="C2" s="21" t="s">
        <v>831</v>
      </c>
      <c r="D2" s="21" t="s">
        <v>29</v>
      </c>
      <c r="E2" s="21" t="s">
        <v>421</v>
      </c>
    </row>
    <row r="3" ht="22.5" customHeight="1">
      <c r="A3" s="19" t="s">
        <v>422</v>
      </c>
      <c r="B3" s="18">
        <v>100.0</v>
      </c>
      <c r="C3" s="21" t="s">
        <v>832</v>
      </c>
      <c r="D3" s="21" t="s">
        <v>434</v>
      </c>
      <c r="E3" s="21" t="s">
        <v>794</v>
      </c>
    </row>
  </sheetData>
  <dataValidations>
    <dataValidation type="list" allowBlank="1" sqref="A2:A3">
      <formula1>"fifo,standard"</formula1>
    </dataValidation>
    <dataValidation type="custom" allowBlank="1" showDropDown="1" sqref="B2:B3">
      <formula1>AND(ISNUMBER(B2),(NOT(OR(NOT(ISERROR(DATEVALUE(B2))), AND(ISNUMBER(B2), LEFT(CELL("format", B2))="D")))))</formula1>
    </dataValidation>
    <dataValidation allowBlank="1" showDropDown="1" sqref="C2:E3"/>
  </dataValidations>
  <drawing r:id="rId1"/>
  <tableParts count="1">
    <tablePart r:id="rId3"/>
  </tableParts>
</worksheet>
</file>